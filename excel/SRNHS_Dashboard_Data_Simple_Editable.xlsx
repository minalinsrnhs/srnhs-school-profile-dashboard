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  <Override PartName="/xl/worksheets/sheet9.xml" ContentType="application/vnd.openxmlformats-officedocument.spreadsheetml.worksheet+xml"/>
  <Override PartName="/xl/tables/table10.xml" ContentType="application/vnd.openxmlformats-officedocument.spreadsheetml.table+xml"/>
  <Override PartName="/xl/worksheets/sheet10.xml" ContentType="application/vnd.openxmlformats-officedocument.spreadsheetml.worksheet+xml"/>
  <Override PartName="/xl/tables/table11.xml" ContentType="application/vnd.openxmlformats-officedocument.spreadsheetml.table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b2565aef6c40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_HERE" sheetId="1" r:id="Rd5bad23e056948e6"/>
    <x:sheet xmlns:r="http://schemas.openxmlformats.org/officeDocument/2006/relationships" name="DATA_ENTRY" sheetId="2" r:id="Ra4f1c728dcb44e27"/>
    <x:sheet xmlns:r="http://schemas.openxmlformats.org/officeDocument/2006/relationships" name="RESOURCES" sheetId="3" r:id="R10271b909b374556"/>
    <x:sheet xmlns:r="http://schemas.openxmlformats.org/officeDocument/2006/relationships" name="COHORT_TRANSITION" sheetId="4" r:id="R95ad7249a22042ab"/>
    <x:sheet xmlns:r="http://schemas.openxmlformats.org/officeDocument/2006/relationships" name="SUMMARY" sheetId="5" r:id="Ra4907015a46f48bf"/>
    <x:sheet xmlns:r="http://schemas.openxmlformats.org/officeDocument/2006/relationships" name="PLANNING_TOOLS" sheetId="6" r:id="Rc075c152d4514c7e"/>
    <x:sheet xmlns:r="http://schemas.openxmlformats.org/officeDocument/2006/relationships" name="ACTION_PLANS" sheetId="7" r:id="R8f17819f3c3a44ac"/>
    <x:sheet xmlns:r="http://schemas.openxmlformats.org/officeDocument/2006/relationships" name="USERS" sheetId="8" r:id="R8bed0f0e3c9649a4"/>
    <x:sheet xmlns:r="http://schemas.openxmlformats.org/officeDocument/2006/relationships" name="ACTIVITY_LOG" sheetId="9" r:id="R071150cd14dc4cb1"/>
    <x:sheet xmlns:r="http://schemas.openxmlformats.org/officeDocument/2006/relationships" name="SETTINGS" sheetId="10" r:id="Ra732cc41936940cf"/>
    <x:sheet xmlns:r="http://schemas.openxmlformats.org/officeDocument/2006/relationships" name="INSIGHTS_SUMMARY" sheetId="11" r:id="R96bc8817d5854e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0.0"/>
    <x:numFmt numFmtId="202" formatCode="0"/>
    <x:numFmt numFmtId="203" formatCode="#,##0"/>
  </x:numFmts>
  <x:fonts count="13">
    <x:font>
      <x:sz val="11"/>
      <x:name val="Carlito"/>
    </x:font>
    <x:font>
      <x:b/>
      <x:sz val="18"/>
      <x:color rgb="FFFFFF"/>
      <x:name val="Carlito"/>
    </x:font>
    <x:font>
      <x:i/>
      <x:sz val="10"/>
      <x:color rgb="31443A"/>
      <x:name val="Carlito"/>
    </x:font>
    <x:font>
      <x:b/>
      <x:sz val="11"/>
      <x:color rgb="FFFFFF"/>
      <x:name val="Carlito"/>
    </x:font>
    <x:font>
      <x:sz val="10"/>
      <x:color rgb="101B15"/>
      <x:name val="Carlito"/>
    </x:font>
    <x:font>
      <x:b/>
      <x:sz val="10"/>
      <x:color rgb="0B3D24"/>
      <x:name val="Carlito"/>
    </x:font>
    <x:font>
      <x:b/>
      <x:sz val="10"/>
      <x:color rgb="FFFFFF"/>
      <x:name val="Carlito"/>
    </x:font>
    <x:font>
      <x:b/>
      <x:sz val="11"/>
      <x:color rgb="0B3D24"/>
      <x:name val="Carlito"/>
    </x:font>
    <x:font>
      <x:b/>
      <x:sz val="9"/>
      <x:color rgb="0B3D24"/>
      <x:name val="Carlito"/>
    </x:font>
    <x:font>
      <x:b/>
      <x:sz val="17"/>
      <x:color rgb="0B3D24"/>
      <x:name val="Carlito"/>
    </x:font>
    <x:font>
      <x:i/>
      <x:sz val="10"/>
      <x:color rgb="101B15"/>
      <x:name val="Carlito"/>
    </x:font>
    <x:font>
      <x:b/>
      <x:sz val="10"/>
      <x:color rgb="101B15"/>
      <x:name val="Carlito"/>
    </x:font>
    <x:font>
      <x:sz val="11"/>
      <x:color rgb="101B15"/>
      <x:name val="Carlito"/>
    </x:font>
  </x:fonts>
  <x:fills count="20">
    <x:fill>
      <x:patternFill patternType="none"/>
    </x:fill>
    <x:fill>
      <x:patternFill patternType="gray125"/>
    </x:fill>
    <x:fill>
      <x:patternFill patternType="solid">
        <x:fgColor rgb="0B3D24"/>
      </x:patternFill>
    </x:fill>
    <x:fill>
      <x:patternFill patternType="solid">
        <x:fgColor rgb="E5F4EA"/>
      </x:patternFill>
    </x:fill>
    <x:fill>
      <x:patternFill patternType="solid">
        <x:fgColor rgb="168447"/>
      </x:patternFill>
    </x:fill>
    <x:fill>
      <x:patternFill patternType="solid">
        <x:fgColor rgb="F4FBF6"/>
      </x:patternFill>
    </x:fill>
    <x:fill>
      <x:patternFill patternType="solid">
        <x:fgColor rgb="FFFFFF"/>
      </x:patternFill>
    </x:fill>
    <x:fill>
      <x:patternFill patternType="solid">
        <x:fgColor rgb="FFF4CC"/>
      </x:patternFill>
    </x:fill>
    <x:fill>
      <x:patternFill patternType="solid">
        <x:fgColor rgb="0B3D24"/>
      </x:patternFill>
    </x:fill>
    <x:fill>
      <x:patternFill patternType="solid">
        <x:fgColor rgb="E5F4EA"/>
      </x:patternFill>
    </x:fill>
    <x:fill>
      <x:patternFill patternType="solid">
        <x:fgColor rgb="168447"/>
      </x:patternFill>
    </x:fill>
    <x:fill>
      <x:patternFill patternType="solid">
        <x:fgColor rgb="FFFFFF"/>
      </x:patternFill>
    </x:fill>
    <x:fill>
      <x:patternFill patternType="solid">
        <x:fgColor rgb="FFF4CC"/>
      </x:patternFill>
    </x:fill>
    <x:fill>
      <x:patternFill patternType="solid">
        <x:fgColor rgb="0B3D24"/>
      </x:patternFill>
    </x:fill>
    <x:fill>
      <x:patternFill patternType="solid">
        <x:fgColor rgb="E5F4EA"/>
      </x:patternFill>
    </x:fill>
    <x:fill>
      <x:patternFill patternType="solid">
        <x:fgColor rgb="168447"/>
      </x:patternFill>
    </x:fill>
    <x:fill>
      <x:patternFill patternType="solid">
        <x:fgColor rgb="FFFFFF"/>
      </x:patternFill>
    </x:fill>
    <x:fill>
      <x:patternFill patternType="solid">
        <x:fgColor rgb="FFF4CC"/>
      </x:patternFill>
    </x:fill>
    <x:fill>
      <x:patternFill patternType="solid">
        <x:fgColor rgb="E5F4EA"/>
      </x:patternFill>
    </x:fill>
    <x:fill>
      <x:patternFill patternType="solid">
        <x:fgColor rgb="F4FBF6"/>
      </x:patternFill>
    </x:fill>
  </x:fills>
  <x:borders count="2">
    <x:border/>
    <x:border/>
  </x:borders>
  <x:cellStyleXfs count="1">
    <x:xf numFmtId="0" fontId="0" fillId="0" borderId="0"/>
  </x:cellStyleXfs>
  <x:cellXfs count="2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horizontal="center" wrapText="1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horizontal="center" wrapText="1"/>
    </x:xf>
    <x:xf numFmtId="0" fontId="6" fillId="4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5" fillId="3" borderId="0" xfId="0" applyNumberFormat="1" applyFont="1" applyFill="1" applyBorder="1"/>
    <x:xf numFmtId="200" fontId="5" fillId="3" borderId="0" xfId="0" applyNumberFormat="1" applyFont="1" applyFill="1" applyBorder="1"/>
    <x:xf numFmtId="0" fontId="5" fillId="3" borderId="1" xfId="0" applyNumberFormat="1" applyFont="1" applyFill="1" applyBorder="1"/>
    <x:xf numFmtId="200" fontId="5" fillId="3" borderId="1" xfId="0" applyNumberFormat="1" applyFont="1" applyFill="1" applyBorder="1"/>
    <x:xf numFmtId="0" fontId="4" fillId="7" borderId="0" xfId="0" applyNumberFormat="1" applyFont="1" applyFill="1" applyBorder="1"/>
    <x:xf numFmtId="0" fontId="4" fillId="7" borderId="1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200" fontId="5" fillId="3" borderId="0" xfId="0" applyNumberFormat="1" applyFont="1" applyFill="1" applyBorder="1" applyAlignment="1">
      <x:alignment wrapText="1"/>
    </x:xf>
    <x:xf numFmtId="0" fontId="4" fillId="7" borderId="1" xfId="0" applyNumberFormat="1" applyFont="1" applyFill="1" applyBorder="1" applyAlignment="1">
      <x:alignment wrapText="1"/>
    </x:xf>
    <x:xf numFmtId="200" fontId="5" fillId="3" borderId="1" xfId="0" applyNumberFormat="1" applyFont="1" applyFill="1" applyBorder="1" applyAlignment="1">
      <x:alignment wrapText="1"/>
    </x:xf>
    <x:xf numFmtId="0" fontId="7" fillId="3" borderId="0" xfId="0" applyNumberFormat="1" applyFont="1" applyFill="1" applyBorder="1"/>
    <x:xf numFmtId="0" fontId="7" fillId="3" borderId="1" xfId="0" applyNumberFormat="1" applyFont="1" applyFill="1" applyBorder="1"/>
    <x:xf numFmtId="201" fontId="7" fillId="3" borderId="0" xfId="0" applyNumberFormat="1" applyFont="1" applyFill="1" applyBorder="1"/>
    <x:xf numFmtId="201" fontId="7" fillId="3" borderId="1" xfId="0" applyNumberFormat="1" applyFont="1" applyFill="1" applyBorder="1"/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200" fontId="5" fillId="3" borderId="0" xfId="0" applyNumberFormat="1" applyFont="1" applyFill="1" applyBorder="1" applyAlignment="1">
      <x:alignment vertical="center" wrapText="1"/>
    </x:xf>
    <x:xf numFmtId="200" fontId="5" fillId="3" borderId="1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horizontal="center"/>
    </x:xf>
    <x:xf numFmtId="0" fontId="8" fillId="3" borderId="1" xfId="0" applyNumberFormat="1" applyFont="1" applyFill="1" applyBorder="1"/>
    <x:xf numFmtId="0" fontId="8" fillId="3" borderId="1" xfId="0" applyNumberFormat="1" applyFont="1" applyFill="1" applyBorder="1" applyAlignment="1">
      <x:alignment horizontal="center"/>
    </x:xf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horizontal="center"/>
    </x:xf>
    <x:xf numFmtId="0" fontId="9" fillId="6" borderId="0" xfId="0" applyNumberFormat="1" applyFont="1" applyFill="1" applyBorder="1" applyAlignment="1">
      <x:alignment horizontal="center" vertical="center"/>
    </x:xf>
    <x:xf numFmtId="0" fontId="9" fillId="6" borderId="1" xfId="0" applyNumberFormat="1" applyFont="1" applyFill="1" applyBorder="1"/>
    <x:xf numFmtId="0" fontId="9" fillId="6" borderId="1" xfId="0" applyNumberFormat="1" applyFont="1" applyFill="1" applyBorder="1" applyAlignment="1">
      <x:alignment horizontal="center"/>
    </x:xf>
    <x:xf numFmtId="0" fontId="9" fillId="6" borderId="1" xfId="0" applyNumberFormat="1" applyFont="1" applyFill="1" applyBorder="1" applyAlignment="1">
      <x:alignment horizontal="center" vertical="center"/>
    </x:xf>
    <x:xf numFmtId="200" fontId="4" fillId="6" borderId="0" xfId="0" applyNumberFormat="1" applyFont="1" applyFill="1" applyBorder="1"/>
    <x:xf numFmtId="200" fontId="4" fillId="7" borderId="0" xfId="0" applyNumberFormat="1" applyFont="1" applyFill="1" applyBorder="1"/>
    <x:xf numFmtId="200" fontId="4" fillId="6" borderId="1" xfId="0" applyNumberFormat="1" applyFont="1" applyFill="1" applyBorder="1"/>
    <x:xf numFmtId="200" fontId="4" fillId="7" borderId="1" xfId="0" applyNumberFormat="1" applyFont="1" applyFill="1" applyBorder="1"/>
    <x:xf numFmtId="200" fontId="9" fillId="6" borderId="0" xfId="0" applyNumberFormat="1" applyFont="1" applyFill="1" applyBorder="1" applyAlignment="1">
      <x:alignment horizontal="center" vertical="center"/>
    </x:xf>
    <x:xf numFmtId="200" fontId="9" fillId="6" borderId="1" xfId="0" applyNumberFormat="1" applyFont="1" applyFill="1" applyBorder="1" applyAlignment="1">
      <x:alignment horizontal="center" vertical="center"/>
    </x:xf>
    <x:xf numFmtId="201" fontId="9" fillId="6" borderId="0" xfId="0" applyNumberFormat="1" applyFont="1" applyFill="1" applyBorder="1" applyAlignment="1">
      <x:alignment horizontal="center" vertical="center"/>
    </x:xf>
    <x:xf numFmtId="201" fontId="9" fillId="6" borderId="1" xfId="0" applyNumberFormat="1" applyFont="1" applyFill="1" applyBorder="1" applyAlignment="1">
      <x:alignment horizontal="center" vertical="center"/>
    </x:xf>
    <x:xf numFmtId="0" fontId="8" fillId="3" borderId="0" xfId="0" applyNumberFormat="1" applyFont="1" applyFill="1" applyBorder="1" applyAlignment="1">
      <x:alignment horizontal="center" wrapText="1"/>
    </x:xf>
    <x:xf numFmtId="0" fontId="9" fillId="6" borderId="0" xfId="0" applyNumberFormat="1" applyFont="1" applyFill="1" applyBorder="1" applyAlignment="1">
      <x:alignment horizontal="center" vertical="center" wrapText="1"/>
    </x:xf>
    <x:xf numFmtId="200" fontId="9" fillId="6" borderId="0" xfId="0" applyNumberFormat="1" applyFont="1" applyFill="1" applyBorder="1" applyAlignment="1">
      <x:alignment horizontal="center" vertical="center" wrapText="1"/>
    </x:xf>
    <x:xf numFmtId="201" fontId="9" fillId="6" borderId="0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 applyAlignment="1">
      <x:alignment wrapText="1"/>
    </x:xf>
    <x:xf numFmtId="200" fontId="4" fillId="6" borderId="0" xfId="0" applyNumberFormat="1" applyFont="1" applyFill="1" applyBorder="1" applyAlignment="1">
      <x:alignment wrapText="1"/>
    </x:xf>
    <x:xf numFmtId="200" fontId="4" fillId="7" borderId="0" xfId="0" applyNumberFormat="1" applyFont="1" applyFill="1" applyBorder="1" applyAlignment="1">
      <x:alignment wrapText="1"/>
    </x:xf>
    <x:xf numFmtId="0" fontId="8" fillId="3" borderId="1" xfId="0" applyNumberFormat="1" applyFont="1" applyFill="1" applyBorder="1" applyAlignment="1">
      <x:alignment horizontal="center" wrapText="1"/>
    </x:xf>
    <x:xf numFmtId="0" fontId="9" fillId="6" borderId="1" xfId="0" applyNumberFormat="1" applyFont="1" applyFill="1" applyBorder="1" applyAlignment="1">
      <x:alignment horizontal="center" vertical="center" wrapText="1"/>
    </x:xf>
    <x:xf numFmtId="200" fontId="9" fillId="6" borderId="1" xfId="0" applyNumberFormat="1" applyFont="1" applyFill="1" applyBorder="1" applyAlignment="1">
      <x:alignment horizontal="center" vertical="center" wrapText="1"/>
    </x:xf>
    <x:xf numFmtId="201" fontId="9" fillId="6" borderId="1" xfId="0" applyNumberFormat="1" applyFont="1" applyFill="1" applyBorder="1" applyAlignment="1">
      <x:alignment horizontal="center" vertical="center" wrapText="1"/>
    </x:xf>
    <x:xf numFmtId="0" fontId="4" fillId="6" borderId="1" xfId="0" applyNumberFormat="1" applyFont="1" applyFill="1" applyBorder="1" applyAlignment="1">
      <x:alignment wrapText="1"/>
    </x:xf>
    <x:xf numFmtId="200" fontId="4" fillId="6" borderId="1" xfId="0" applyNumberFormat="1" applyFont="1" applyFill="1" applyBorder="1" applyAlignment="1">
      <x:alignment wrapText="1"/>
    </x:xf>
    <x:xf numFmtId="200" fontId="4" fillId="7" borderId="1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vertical="center" wrapText="1"/>
    </x:xf>
    <x:xf numFmtId="0" fontId="4" fillId="7" borderId="1" xfId="0" applyNumberFormat="1" applyFont="1" applyFill="1" applyBorder="1" applyAlignment="1">
      <x:alignment vertical="center" wrapText="1"/>
    </x:xf>
    <x:xf numFmtId="200" fontId="4" fillId="7" borderId="0" xfId="0" applyNumberFormat="1" applyFont="1" applyFill="1" applyBorder="1" applyAlignment="1">
      <x:alignment vertical="center" wrapText="1"/>
    </x:xf>
    <x:xf numFmtId="200" fontId="4" fillId="7" borderId="1" xfId="0" applyNumberFormat="1" applyFont="1" applyFill="1" applyBorder="1" applyAlignment="1">
      <x:alignment vertical="center" wrapText="1"/>
    </x:xf>
    <x:xf numFmtId="201" fontId="4" fillId="5" borderId="0" xfId="0" applyNumberFormat="1" applyFont="1" applyFill="1" applyBorder="1" applyAlignment="1">
      <x:alignment vertical="center" wrapText="1"/>
    </x:xf>
    <x:xf numFmtId="201" fontId="4" fillId="5" borderId="1" xfId="0" applyNumberFormat="1" applyFont="1" applyFill="1" applyBorder="1" applyAlignment="1">
      <x:alignment vertical="center" wrapText="1"/>
    </x:xf>
    <x:xf numFmtId="202" fontId="4" fillId="6" borderId="0" xfId="0" applyNumberFormat="1" applyFont="1" applyFill="1" applyBorder="1"/>
    <x:xf numFmtId="202" fontId="4" fillId="7" borderId="0" xfId="0" applyNumberFormat="1" applyFont="1" applyFill="1" applyBorder="1" applyAlignment="1">
      <x:alignment wrapText="1"/>
    </x:xf>
    <x:xf numFmtId="202" fontId="4" fillId="6" borderId="1" xfId="0" applyNumberFormat="1" applyFont="1" applyFill="1" applyBorder="1"/>
    <x:xf numFmtId="202" fontId="4" fillId="7" borderId="1" xfId="0" applyNumberFormat="1" applyFont="1" applyFill="1" applyBorder="1" applyAlignment="1">
      <x:alignment wrapText="1"/>
    </x:xf>
    <x:xf numFmtId="203" fontId="4" fillId="6" borderId="0" xfId="0" applyNumberFormat="1" applyFont="1" applyFill="1" applyBorder="1" applyAlignment="1">
      <x:alignment wrapText="1"/>
    </x:xf>
    <x:xf numFmtId="203" fontId="4" fillId="7" borderId="0" xfId="0" applyNumberFormat="1" applyFont="1" applyFill="1" applyBorder="1" applyAlignment="1">
      <x:alignment wrapText="1"/>
    </x:xf>
    <x:xf numFmtId="203" fontId="4" fillId="6" borderId="1" xfId="0" applyNumberFormat="1" applyFont="1" applyFill="1" applyBorder="1" applyAlignment="1">
      <x:alignment wrapText="1"/>
    </x:xf>
    <x:xf numFmtId="203" fontId="4" fillId="7" borderId="1" xfId="0" applyNumberFormat="1" applyFont="1" applyFill="1" applyBorder="1" applyAlignment="1">
      <x:alignment wrapText="1"/>
    </x:xf>
    <x:xf numFmtId="201" fontId="4" fillId="6" borderId="0" xfId="0" applyNumberFormat="1" applyFont="1" applyFill="1" applyBorder="1" applyAlignment="1">
      <x:alignment wrapText="1"/>
    </x:xf>
    <x:xf numFmtId="201" fontId="4" fillId="7" borderId="0" xfId="0" applyNumberFormat="1" applyFont="1" applyFill="1" applyBorder="1" applyAlignment="1">
      <x:alignment wrapText="1"/>
    </x:xf>
    <x:xf numFmtId="201" fontId="4" fillId="6" borderId="1" xfId="0" applyNumberFormat="1" applyFont="1" applyFill="1" applyBorder="1" applyAlignment="1">
      <x:alignment wrapText="1"/>
    </x:xf>
    <x:xf numFmtId="201" fontId="4" fillId="7" borderId="1" xfId="0" applyNumberFormat="1" applyFont="1" applyFill="1" applyBorder="1" applyAlignment="1">
      <x:alignment wrapText="1"/>
    </x:xf>
    <x:xf numFmtId="203" fontId="4" fillId="5" borderId="0" xfId="0" applyNumberFormat="1" applyFont="1" applyFill="1" applyBorder="1" applyAlignment="1">
      <x:alignment vertical="center" wrapText="1"/>
    </x:xf>
    <x:xf numFmtId="203" fontId="5" fillId="3" borderId="0" xfId="0" applyNumberFormat="1" applyFont="1" applyFill="1" applyBorder="1" applyAlignment="1">
      <x:alignment vertical="center" wrapText="1"/>
    </x:xf>
    <x:xf numFmtId="203" fontId="4" fillId="5" borderId="1" xfId="0" applyNumberFormat="1" applyFont="1" applyFill="1" applyBorder="1" applyAlignment="1">
      <x:alignment vertical="center" wrapText="1"/>
    </x:xf>
    <x:xf numFmtId="203" fontId="5" fillId="3" borderId="1" xfId="0" applyNumberFormat="1" applyFont="1" applyFill="1" applyBorder="1" applyAlignment="1">
      <x:alignment vertical="center" wrapText="1"/>
    </x:xf>
    <x:xf numFmtId="203" fontId="4" fillId="7" borderId="0" xfId="0" applyNumberFormat="1" applyFont="1" applyFill="1" applyBorder="1" applyAlignment="1">
      <x:alignment vertical="center" wrapText="1"/>
    </x:xf>
    <x:xf numFmtId="203" fontId="4" fillId="7" borderId="1" xfId="0" applyNumberFormat="1" applyFont="1" applyFill="1" applyBorder="1" applyAlignment="1">
      <x:alignment vertical="center" wrapText="1"/>
    </x:xf>
    <x:xf numFmtId="201" fontId="4" fillId="7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1" fillId="8" borderId="0" xfId="0" applyNumberFormat="1" applyFont="1" applyFill="1" applyBorder="1" applyAlignment="1">
      <x:alignment horizontal="left" vertical="center" wrapText="1"/>
    </x:xf>
    <x:xf numFmtId="0" fontId="2" fillId="9" borderId="0" xfId="0" applyNumberFormat="1" applyFont="1" applyFill="1" applyBorder="1" applyAlignment="1">
      <x:alignment horizontal="left" vertical="center" wrapText="1"/>
    </x:xf>
    <x:xf numFmtId="0" fontId="6" fillId="10" borderId="0" xfId="0" applyNumberFormat="1" applyFont="1" applyFill="1" applyBorder="1" applyAlignment="1">
      <x:alignment horizontal="center" vertical="center" wrapText="1"/>
    </x:xf>
    <x:xf numFmtId="0" fontId="6" fillId="10" xfId="0" applyNumberFormat="1" applyFont="1" applyFill="1" applyBorder="0" applyAlignment="1">
      <x:alignment horizontal="center" vertical="center" wrapText="1"/>
    </x:xf>
    <x:xf numFmtId="0" fontId="4" fillId="11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4" fillId="11" borderId="0" xfId="0" applyNumberFormat="1" applyFont="1" applyFill="1" applyBorder="1"/>
    <x:xf numFmtId="0" fontId="4" fillId="11" xfId="0" applyNumberFormat="1" applyFont="1" applyFill="1" applyBorder="0" applyAlignment="1">
      <x:alignment vertical="center" wrapText="1"/>
    </x:xf>
    <x:xf numFmtId="0" fontId="4" fillId="11" xfId="0" applyNumberFormat="1" applyFont="1" applyFill="1" applyBorder="0"/>
    <x:xf numFmtId="0" fontId="4" fillId="9" xfId="0" applyNumberFormat="1" applyFont="1" applyFill="1" applyBorder="0" applyAlignment="1">
      <x:alignment vertical="center" wrapText="1"/>
    </x:xf>
    <x:xf numFmtId="0" fontId="4" fillId="9" xfId="0" applyNumberFormat="1" applyFont="1" applyFill="1" applyBorder="0"/>
    <x:xf numFmtId="0" fontId="5" fillId="9" xfId="0" applyNumberFormat="1" applyFont="1" applyFill="1" applyBorder="0" applyAlignment="1">
      <x:alignment vertical="center" wrapText="1"/>
    </x:xf>
    <x:xf numFmtId="0" fontId="5" fillId="9" xfId="0" applyNumberFormat="1" applyFont="1" applyFill="1" applyBorder="0"/>
    <x:xf numFmtId="0" fontId="5" fillId="9" xfId="0" applyNumberFormat="1" applyFont="1" applyFill="1" applyBorder="0" applyAlignment="1">
      <x:alignment horizontal="center" vertical="center" wrapText="1"/>
    </x:xf>
    <x:xf numFmtId="0" fontId="5" fillId="9" xfId="0" applyNumberFormat="1" applyFont="1" applyFill="1" applyBorder="0" applyAlignment="1">
      <x:alignment horizontal="center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horizontal="left" wrapText="1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2" fillId="9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6" fillId="10" borderId="0" xfId="0" applyNumberFormat="1" applyFont="1" applyFill="1" applyBorder="1"/>
    <x:xf numFmtId="0" fontId="6" fillId="10" xfId="0" applyNumberFormat="1" applyFont="1" applyFill="1" applyBorder="0"/>
    <x:xf numFmtId="0" fontId="6" fillId="10" xfId="0" applyNumberFormat="1" applyFont="1" applyFill="1" applyBorder="0" applyAlignment="1">
      <x:alignment wrapText="1"/>
    </x:xf>
    <x:xf numFmtId="0" fontId="6" fillId="10" xfId="0" applyNumberFormat="1" applyFont="1" applyFill="1" applyBorder="0" applyAlignment="1">
      <x:alignment horizontal="center" wrapText="1"/>
    </x:xf>
    <x:xf numFmtId="0" fontId="4" fillId="11" xfId="0" applyNumberFormat="1" applyFont="1" applyFill="1" applyBorder="0" applyAlignment="1">
      <x:alignment wrapText="1"/>
    </x:xf>
    <x:xf numFmtId="0" fontId="4" fillId="12" xfId="0" applyNumberFormat="1" applyFont="1" applyFill="1" applyBorder="0" applyAlignment="1">
      <x:alignment wrapText="1"/>
    </x:xf>
    <x:xf numFmtId="0" fontId="6" fillId="4" xfId="0" applyNumberFormat="1" applyFont="1" applyFill="1" applyBorder="0" applyAlignment="1">
      <x:alignment horizontal="center"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0" fontId="4" fillId="6" xfId="0" applyNumberFormat="1" applyFont="1" applyFill="1" applyBorder="0" applyAlignment="1">
      <x:alignment vertical="center" wrapText="1"/>
    </x:xf>
    <x:xf numFmtId="0" fontId="4" fillId="6" xfId="0" applyNumberFormat="1" applyFont="1" applyFill="1" applyBorder="0"/>
    <x:xf numFmtId="0" fontId="4" fillId="3" xfId="0" applyNumberFormat="1" applyFont="1" applyFill="1" applyBorder="0" applyAlignment="1">
      <x:alignment vertical="center" wrapText="1"/>
    </x:xf>
    <x:xf numFmtId="0" fontId="4" fillId="3" xfId="0" applyNumberFormat="1" applyFont="1" applyFill="1" applyBorder="0"/>
    <x:xf numFmtId="0" fontId="5" fillId="3" xfId="0" applyNumberFormat="1" applyFont="1" applyFill="1" applyBorder="0" applyAlignment="1">
      <x:alignment vertical="center" wrapText="1"/>
    </x:xf>
    <x:xf numFmtId="0" fontId="5" fillId="3" xfId="0" applyNumberFormat="1" applyFont="1" applyFill="1" applyBorder="0"/>
    <x:xf numFmtId="0" fontId="5" fillId="3" xfId="0" applyNumberFormat="1" applyFont="1" applyFill="1" applyBorder="0" applyAlignment="1">
      <x:alignment horizontal="center" vertical="center" wrapText="1"/>
    </x:xf>
    <x:xf numFmtId="0" fontId="5" fillId="3" xfId="0" applyNumberFormat="1" applyFont="1" applyFill="1" applyBorder="0" applyAlignment="1">
      <x:alignment horizontal="center"/>
    </x:xf>
    <x:xf numFmtId="0" fontId="2" fillId="3" borderId="0" xfId="0" applyNumberFormat="1" applyFont="1" applyFill="1" applyBorder="1" applyAlignment="1">
      <x:alignment vertical="center" wrapText="1"/>
    </x:xf>
    <x:xf numFmtId="0" fontId="6" fillId="4" xfId="0" applyNumberFormat="1" applyFont="1" applyFill="1" applyBorder="0"/>
    <x:xf numFmtId="0" fontId="6" fillId="4" xfId="0" applyNumberFormat="1" applyFont="1" applyFill="1" applyBorder="0" applyAlignment="1">
      <x:alignment wrapText="1"/>
    </x:xf>
    <x:xf numFmtId="0" fontId="6" fillId="4" xfId="0" applyNumberFormat="1" applyFont="1" applyFill="1" applyBorder="0" applyAlignment="1">
      <x:alignment horizontal="center" wrapText="1"/>
    </x:xf>
    <x:xf numFmtId="0" fontId="4" fillId="6" xfId="0" applyNumberFormat="1" applyFont="1" applyFill="1" applyBorder="0" applyAlignment="1">
      <x:alignment wrapText="1"/>
    </x:xf>
    <x:xf numFmtId="0" fontId="4" fillId="7" xfId="0" applyNumberFormat="1" applyFont="1" applyFill="1" applyBorder="0" applyAlignment="1">
      <x:alignment wrapText="1"/>
    </x:xf>
    <x:xf numFmtId="0" fontId="1" fillId="13" borderId="0" xfId="0" applyNumberFormat="1" applyFont="1" applyFill="1" applyBorder="1" applyAlignment="1">
      <x:alignment horizontal="left" vertical="center" wrapText="1"/>
    </x:xf>
    <x:xf numFmtId="0" fontId="0" fillId="13" borderId="0" xfId="0" applyNumberFormat="1" applyFont="1" applyFill="1" applyBorder="1"/>
    <x:xf numFmtId="0" fontId="1" fillId="13" borderId="0" xfId="0" applyNumberFormat="1" applyFont="1" applyFill="1" applyBorder="1"/>
    <x:xf numFmtId="0" fontId="1" fillId="13" borderId="0" xfId="0" applyNumberFormat="1" applyFont="1" applyFill="1" applyBorder="1" applyAlignment="1">
      <x:alignment wrapText="1"/>
    </x:xf>
    <x:xf numFmtId="0" fontId="1" fillId="13" borderId="0" xfId="0" applyNumberFormat="1" applyFont="1" applyFill="1" applyBorder="1" applyAlignment="1">
      <x:alignment horizontal="left" wrapText="1"/>
    </x:xf>
    <x:xf numFmtId="0" fontId="2" fillId="14" borderId="0" xfId="0" applyNumberFormat="1" applyFont="1" applyFill="1" applyBorder="1" applyAlignment="1">
      <x:alignment horizontal="left" vertical="center" wrapText="1"/>
    </x:xf>
    <x:xf numFmtId="0" fontId="0" fillId="14" borderId="0" xfId="0" applyNumberFormat="1" applyFont="1" applyFill="1" applyBorder="1"/>
    <x:xf numFmtId="0" fontId="10" fillId="14" borderId="0" xfId="0" applyNumberFormat="1" applyFont="1" applyFill="1" applyBorder="1" applyAlignment="1">
      <x:alignment horizontal="left" vertical="center" wrapText="1"/>
    </x:xf>
    <x:xf numFmtId="0" fontId="10" fillId="14" borderId="0" xfId="0" applyNumberFormat="1" applyFont="1" applyFill="1" applyBorder="1"/>
    <x:xf numFmtId="0" fontId="10" fillId="14" borderId="0" xfId="0" applyNumberFormat="1" applyFont="1" applyFill="1" applyBorder="1" applyAlignment="1">
      <x:alignment wrapText="1"/>
    </x:xf>
    <x:xf numFmtId="0" fontId="6" fillId="15" borderId="0" xfId="0" applyNumberFormat="1" applyFont="1" applyFill="1" applyBorder="1" applyAlignment="1">
      <x:alignment horizontal="center" vertical="center" wrapText="1"/>
    </x:xf>
    <x:xf numFmtId="0" fontId="0" fillId="15" borderId="0" xfId="0" applyNumberFormat="1" applyFont="1" applyFill="1" applyBorder="1"/>
    <x:xf numFmtId="0" fontId="6" fillId="15" borderId="0" xfId="0" applyNumberFormat="1" applyFont="1" applyFill="1" applyBorder="1"/>
    <x:xf numFmtId="0" fontId="6" fillId="15" xfId="0" applyNumberFormat="1" applyFont="1" applyFill="1" applyBorder="0" applyAlignment="1">
      <x:alignment horizontal="center" vertical="center" wrapText="1"/>
    </x:xf>
    <x:xf numFmtId="0" fontId="6" fillId="15" xfId="0" applyNumberFormat="1" applyFont="1" applyFill="1" applyBorder="0"/>
    <x:xf numFmtId="0" fontId="6" fillId="15" xfId="0" applyNumberFormat="1" applyFont="1" applyFill="1" applyBorder="0" applyAlignment="1">
      <x:alignment wrapText="1"/>
    </x:xf>
    <x:xf numFmtId="0" fontId="6" fillId="15" xfId="0" applyNumberFormat="1" applyFont="1" applyFill="1" applyBorder="0" applyAlignment="1">
      <x:alignment horizontal="center" wrapText="1"/>
    </x:xf>
    <x:xf numFmtId="0" fontId="4" fillId="16" borderId="0" xfId="0" applyNumberFormat="1" applyFont="1" applyFill="1" applyBorder="1" applyAlignment="1">
      <x:alignment vertical="center" wrapText="1"/>
    </x:xf>
    <x:xf numFmtId="0" fontId="0" fillId="16" borderId="0" xfId="0" applyNumberFormat="1" applyFont="1" applyFill="1" applyBorder="1"/>
    <x:xf numFmtId="0" fontId="4" fillId="16" borderId="0" xfId="0" applyNumberFormat="1" applyFont="1" applyFill="1" applyBorder="1"/>
    <x:xf numFmtId="0" fontId="4" fillId="16" xfId="0" applyNumberFormat="1" applyFont="1" applyFill="1" applyBorder="0" applyAlignment="1">
      <x:alignment vertical="center" wrapText="1"/>
    </x:xf>
    <x:xf numFmtId="0" fontId="4" fillId="16" xfId="0" applyNumberFormat="1" applyFont="1" applyFill="1" applyBorder="0"/>
    <x:xf numFmtId="0" fontId="4" fillId="16" xfId="0" applyNumberFormat="1" applyFont="1" applyFill="1" applyBorder="0" applyAlignment="1">
      <x:alignment wrapText="1"/>
    </x:xf>
    <x:xf numFmtId="0" fontId="5" fillId="16" xfId="0" applyNumberFormat="1" applyFont="1" applyFill="1" applyBorder="0" applyAlignment="1">
      <x:alignment horizontal="center" vertical="center" wrapText="1"/>
    </x:xf>
    <x:xf numFmtId="0" fontId="11" fillId="16" xfId="0" applyNumberFormat="1" applyFont="1" applyFill="1" applyBorder="0" applyAlignment="1">
      <x:alignment horizontal="center" vertical="center" wrapText="1"/>
    </x:xf>
    <x:xf numFmtId="0" fontId="4" fillId="17" xfId="0" applyNumberFormat="1" applyFont="1" applyFill="1" applyBorder="0" applyAlignment="1">
      <x:alignment vertical="center" wrapText="1"/>
    </x:xf>
    <x:xf numFmtId="0" fontId="10" fillId="3" borderId="0" xfId="0" applyNumberFormat="1" applyFont="1" applyFill="1" applyBorder="1" applyAlignment="1">
      <x:alignment horizontal="left" vertical="center" wrapText="1"/>
    </x:xf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wrapText="1"/>
    </x:xf>
    <x:xf numFmtId="0" fontId="5" fillId="6" xfId="0" applyNumberFormat="1" applyFont="1" applyFill="1" applyBorder="0" applyAlignment="1">
      <x:alignment horizontal="center" vertical="center" wrapText="1"/>
    </x:xf>
    <x:xf numFmtId="0" fontId="11" fillId="6" xfId="0" applyNumberFormat="1" applyFont="1" applyFill="1" applyBorder="0" applyAlignment="1">
      <x:alignment horizontal="center" vertical="center" wrapText="1"/>
    </x:xf>
    <x:xf numFmtId="0" fontId="4" fillId="7" xfId="0" applyNumberFormat="1" applyFont="1" applyFill="1" applyBorder="0" applyAlignment="1">
      <x:alignment vertical="center" wrapText="1"/>
    </x:xf>
    <x:xf numFmtId="0" fontId="0" fillId="18" borderId="0" xfId="0" applyNumberFormat="1" applyFont="1" applyFill="1" applyBorder="1"/>
    <x:xf numFmtId="0" fontId="7" fillId="18" borderId="0" xfId="0" applyNumberFormat="1" applyFont="1" applyFill="1" applyBorder="1"/>
    <x:xf numFmtId="0" fontId="7" fillId="18" borderId="0" xfId="0" applyNumberFormat="1" applyFont="1" applyFill="1" applyBorder="1" applyAlignment="1">
      <x:alignment wrapText="1"/>
    </x:xf>
    <x:xf numFmtId="0" fontId="0" fillId="19" borderId="0" xfId="0" applyNumberFormat="1" applyFont="1" applyFill="1" applyBorder="1"/>
    <x:xf numFmtId="0" fontId="12" fillId="19" borderId="0" xfId="0" applyNumberFormat="1" applyFont="1" applyFill="1" applyBorder="1"/>
    <x:xf numFmtId="0" fontId="12" fillId="19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34c82fa20c49c0" /><Relationship Type="http://schemas.openxmlformats.org/officeDocument/2006/relationships/theme" Target="/xl/theme/theme1.xml" Id="R88d64d6085b441c2" /><Relationship Type="http://schemas.openxmlformats.org/officeDocument/2006/relationships/sharedStrings" Target="/xl/sharedStrings.xml" Id="Rcc241fd408e942e9" /><Relationship Type="http://schemas.openxmlformats.org/officeDocument/2006/relationships/worksheet" Target="/xl/worksheets/sheet1.xml" Id="Rd5bad23e056948e6" /><Relationship Type="http://schemas.openxmlformats.org/officeDocument/2006/relationships/worksheet" Target="/xl/worksheets/sheet2.xml" Id="Ra4f1c728dcb44e27" /><Relationship Type="http://schemas.openxmlformats.org/officeDocument/2006/relationships/worksheet" Target="/xl/worksheets/sheet3.xml" Id="R10271b909b374556" /><Relationship Type="http://schemas.openxmlformats.org/officeDocument/2006/relationships/worksheet" Target="/xl/worksheets/sheet4.xml" Id="R95ad7249a22042ab" /><Relationship Type="http://schemas.openxmlformats.org/officeDocument/2006/relationships/worksheet" Target="/xl/worksheets/sheet5.xml" Id="Ra4907015a46f48bf" /><Relationship Type="http://schemas.openxmlformats.org/officeDocument/2006/relationships/worksheet" Target="/xl/worksheets/sheet6.xml" Id="Rc075c152d4514c7e" /><Relationship Type="http://schemas.openxmlformats.org/officeDocument/2006/relationships/worksheet" Target="/xl/worksheets/sheet7.xml" Id="R8f17819f3c3a44ac" /><Relationship Type="http://schemas.openxmlformats.org/officeDocument/2006/relationships/worksheet" Target="/xl/worksheets/sheet8.xml" Id="R8bed0f0e3c9649a4" /><Relationship Type="http://schemas.openxmlformats.org/officeDocument/2006/relationships/worksheet" Target="/xl/worksheets/sheet9.xml" Id="R071150cd14dc4cb1" /><Relationship Type="http://schemas.openxmlformats.org/officeDocument/2006/relationships/worksheet" Target="/xl/worksheets/sheet10.xml" Id="Ra732cc41936940cf" /><Relationship Type="http://schemas.openxmlformats.org/officeDocument/2006/relationships/worksheet" Target="/xl/worksheets/sheet11.xml" Id="R96bc8817d5854ea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ee9b5d7851a4ee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Enrollment Trend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Series 1</c:v>
          </c:tx>
          <c:cat>
            <c:strRef>
              <c:f>'SUMMARY'!$A$10:$A$14</c:f>
              <c:strCache>
                <c:ptCount val="0"/>
              </c:strCache>
            </c:strRef>
          </c:cat>
          <c:val>
            <c:numRef>
              <c:f>'SUMMARY'!$B$10:$B$14</c:f>
              <c:numCache>
                <c:formatCode/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16</xdr:col>
      <xdr:colOff>0</xdr:colOff>
      <xdr:row>4</xdr:row>
      <xdr:rowOff>0</xdr:rowOff>
    </xdr:from>
    <xdr:to>
      <xdr:col>26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ee9b5d7851a4ee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choolRecordsTable" displayName="SchoolRecordsTable" ref="A5:I41" headerRowCount="1">
  <x:tableColumns count="9">
    <x:tableColumn id="1" name="School Year"/>
    <x:tableColumn id="2" name="Level"/>
    <x:tableColumn id="3" name="Grade Level"/>
    <x:tableColumn id="4" name="Enrollment"/>
    <x:tableColumn id="5" name="Dropouts"/>
    <x:tableColumn id="6" name="Repeaters"/>
    <x:tableColumn id="7" name="Teachers"/>
    <x:tableColumn id="8" name="Dropout Rate"/>
    <x:tableColumn id="9" name="Repeater Rate"/>
  </x:tableColumns>
  <x:tableStyleInfo name="TableStyleMedium2" showRowStripes="1"/>
</x:table>
</file>

<file path=xl/tables/table2.xml><?xml version="1.0" encoding="utf-8"?>
<x:table xmlns:x="http://schemas.openxmlformats.org/spreadsheetml/2006/main" id="2" name="ResourcesTable" displayName="ResourcesTable" ref="A5:G11" headerRowCount="1">
  <x:tableColumns count="7">
    <x:tableColumn id="1" name="School Year"/>
    <x:tableColumn id="2" name="JHS Classrooms"/>
    <x:tableColumn id="3" name="SHS Classrooms"/>
    <x:tableColumn id="4" name="Total Classrooms"/>
    <x:tableColumn id="5" name="Total Enrollment"/>
    <x:tableColumn id="6" name="Students per Classroom"/>
    <x:tableColumn id="7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RoomSizeTable" displayName="RoomSizeTable" ref="A14:D20" headerRowCount="1">
  <x:tableColumns count="4">
    <x:tableColumn id="1" name="Grade Level"/>
    <x:tableColumn id="2" name="Room Length (m)"/>
    <x:tableColumn id="3" name="Room Width (m)"/>
    <x:tableColumn id="4" name="Room Area (sqm)"/>
  </x:tableColumns>
  <x:tableStyleInfo name="TableStyleMedium2" showRowStripes="1"/>
</x:table>
</file>

<file path=xl/tables/table4.xml><?xml version="1.0" encoding="utf-8"?>
<x:table xmlns:x="http://schemas.openxmlformats.org/spreadsheetml/2006/main" id="4" name="CohortTable" displayName="CohortTable" ref="A5:F10" headerRowCount="1">
  <x:tableColumns count="6">
    <x:tableColumn id="1" name="Graduating School Year"/>
    <x:tableColumn id="2" name="Grade 7 Baseline Year"/>
    <x:tableColumn id="3" name="Grade 7 Baseline"/>
    <x:tableColumn id="4" name="Grade 12 Enrollment"/>
    <x:tableColumn id="5" name="Cohort Survival Rate"/>
    <x:tableColumn id="6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TransitionTable" displayName="TransitionTable" ref="H5:L9" headerRowCount="1">
  <x:tableColumns count="5">
    <x:tableColumn id="1" name="Current School Year"/>
    <x:tableColumn id="2" name="Previous Grade 10 Enrollment"/>
    <x:tableColumn id="3" name="Current Grade 11 Enrollment"/>
    <x:tableColumn id="4" name="Transition Rate"/>
    <x:tableColumn id="5" name="Plain Meaning"/>
  </x:tableColumns>
  <x:tableStyleInfo name="TableStyleMedium2" showRowStripes="1"/>
</x:table>
</file>

<file path=xl/tables/table6.xml><?xml version="1.0" encoding="utf-8"?>
<x:table xmlns:x="http://schemas.openxmlformats.org/spreadsheetml/2006/main" id="6" name="SummaryTable" displayName="SummaryTable" ref="A9:O15" headerRowCount="1">
  <x:tableColumns count="15">
    <x:tableColumn id="1" name="School Year"/>
    <x:tableColumn id="2" name="Total Enrollment"/>
    <x:tableColumn id="3" name="JHS"/>
    <x:tableColumn id="4" name="SHS"/>
    <x:tableColumn id="5" name="Enrollment Change %"/>
    <x:tableColumn id="6" name="Dropouts"/>
    <x:tableColumn id="7" name="Dropout Rate"/>
    <x:tableColumn id="8" name="Repeaters"/>
    <x:tableColumn id="9" name="Repeater Rate"/>
    <x:tableColumn id="10" name="Teachers"/>
    <x:tableColumn id="11" name="Students per Teacher"/>
    <x:tableColumn id="12" name="Classrooms"/>
    <x:tableColumn id="13" name="Students per Classroom"/>
    <x:tableColumn id="14" name="Cohort Survival"/>
    <x:tableColumn id="15" name="Transition Rate"/>
  </x:tableColumns>
  <x:tableStyleInfo name="TableStyleMedium2" showRowStripes="1"/>
</x:table>
</file>

<file path=xl/tables/table7.xml><?xml version="1.0" encoding="utf-8"?>
<x:table xmlns:x="http://schemas.openxmlformats.org/spreadsheetml/2006/main" id="7" name="ForecastTable" displayName="ForecastTable" ref="A5:D12" headerRowCount="1">
  <x:tableColumns count="4">
    <x:tableColumn id="1" name="Year Index"/>
    <x:tableColumn id="2" name="School Year"/>
    <x:tableColumn id="3" name="Enrollment"/>
    <x:tableColumn id="4" name="Type"/>
  </x:tableColumns>
  <x:tableStyleInfo name="TableStyleMedium2" showRowStripes="1"/>
</x:table>
</file>

<file path=xl/tables/table8.xml><?xml version="1.0" encoding="utf-8"?>
<x:table xmlns:x="http://schemas.openxmlformats.org/spreadsheetml/2006/main" id="8" name="ActionPlansTable" displayName="ActionPlansTable" ref="A5:G20" headerRowCount="1">
  <x:tableColumns count="7">
    <x:tableColumn id="1" name="School Year"/>
    <x:tableColumn id="2" name="Focus Area"/>
    <x:tableColumn id="3" name="Observed Pattern"/>
    <x:tableColumn id="4" name="Suggested Action"/>
    <x:tableColumn id="5" name="Responsible Group"/>
    <x:tableColumn id="6" name="Status"/>
    <x:tableColumn id="7" name="Notes"/>
  </x:tableColumns>
  <x:tableStyleInfo name="TableStyleMedium2" showRowStripes="1"/>
</x:table>
</file>

<file path=xl/tables/table9.xml><?xml version="1.0" encoding="utf-8"?>
<x:table xmlns:x="http://schemas.openxmlformats.org/spreadsheetml/2006/main" id="11" name="AccountHoldersTable" displayName="AccountHoldersTable" ref="A5:D12" headerRowCount="1">
  <x:tableColumns count="4">
    <x:tableColumn id="1" name="Full Name"/>
    <x:tableColumn id="2" name="Username"/>
    <x:tableColumn id="3" name="Password Display"/>
    <x:tableColumn id="4" name="Last Active"/>
  </x:tableColumns>
  <x:tableStyleInfo name="TableStyleMedium2" showRowStripes="1"/>
</x:table>
</file>

<file path=xl/tables/table10.xml><?xml version="1.0" encoding="utf-8"?>
<x:table xmlns:x="http://schemas.openxmlformats.org/spreadsheetml/2006/main" id="10" name="ActivityLogTable" displayName="ActivityLogTable" ref="A5:F16" headerRowCount="1">
  <x:tableColumns count="6">
    <x:tableColumn id="1" name="Date and Time"/>
    <x:tableColumn id="2" name="User"/>
    <x:tableColumn id="3" name="Action"/>
    <x:tableColumn id="4" name="Section"/>
    <x:tableColumn id="5" name="School Year / Record"/>
    <x:tableColumn id="6" name="Details"/>
  </x:tableColumns>
  <x:tableStyleInfo name="TableStyleMedium2" showRowStripes="1"/>
</x:table>
</file>

<file path=xl/tables/table11.xml><?xml version="1.0" encoding="utf-8"?>
<x:table xmlns:x="http://schemas.openxmlformats.org/spreadsheetml/2006/main" id="12" name="DisplaySettingsTable" displayName="DisplaySettingsTable" ref="A5:C14" headerRowCount="1">
  <x:tableColumns count="3">
    <x:tableColumn id="1" name="Display Item"/>
    <x:tableColumn id="2" name="Current Value"/>
    <x:tableColumn id="3" name="Shown I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1dbac94e7f2412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9ccd7408f6c4c83" /><Relationship Type="http://schemas.openxmlformats.org/officeDocument/2006/relationships/table" Target="/xl/tables/table3.xml" Id="R882c8bab1c784f4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f5ff28d08c64c53" /><Relationship Type="http://schemas.openxmlformats.org/officeDocument/2006/relationships/table" Target="/xl/tables/table5.xml" Id="Rdea8f47246d7481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5c80413df4bd4097" /><Relationship Type="http://schemas.openxmlformats.org/officeDocument/2006/relationships/table" Target="/xl/tables/table6.xml" Id="R384673a54190499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dff98ee31a0e4c1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4fbf085a59154dc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9.xml" Id="Rbecfa794fa42462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0.xml" Id="Rc24828359dd047a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1.xml" Id="R6ce37054b0284eae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4" hidden="0" customWidth="1"/>
  </x:cols>
  <x:sheetData>
    <x:row r="1" ht="34" customHeight="1">
      <x:c r="A1" s="6" t="str">
        <x:v>SRNHS School Profile Dashboard Data Workbook</x:v>
      </x:c>
      <x:c r="B1" s="6"/>
      <x:c r="C1" s="6"/>
      <x:c r="D1" s="6"/>
      <x:c r="E1" s="6"/>
      <x:c r="F1" s="6"/>
      <x:c r="G1" s="6"/>
      <x:c r="H1" s="6"/>
    </x:row>
    <x:row r="2" ht="34" customHeight="1">
      <x:c r="A2" s="6"/>
      <x:c r="B2" s="6"/>
      <x:c r="C2" s="6"/>
      <x:c r="D2" s="6"/>
      <x:c r="E2" s="6"/>
      <x:c r="F2" s="6"/>
      <x:c r="G2" s="6"/>
      <x:c r="H2" s="6"/>
    </x:row>
    <x:row r="3" ht="28" customHeight="1">
      <x:c r="A3" s="16" t="str">
        <x:v>Simple editable workbook for the school dashboard. Edit the input sheets only; totals and rates compute automatically.</x:v>
      </x:c>
      <x:c r="B3" s="16"/>
      <x:c r="C3" s="16"/>
      <x:c r="D3" s="16"/>
      <x:c r="E3" s="16"/>
      <x:c r="F3" s="16"/>
      <x:c r="G3" s="16"/>
      <x:c r="H3" s="16"/>
    </x:row>
    <x:row r="4">
      <x:c r="A4" s="40"/>
      <x:c r="B4" s="40"/>
      <x:c r="C4" s="40"/>
      <x:c r="D4" s="40"/>
      <x:c r="E4" s="40"/>
      <x:c r="F4" s="40"/>
      <x:c r="G4" s="40"/>
      <x:c r="H4" s="40"/>
    </x:row>
    <x:row r="5">
      <x:c r="A5" s="41" t="str">
        <x:v>HOW TO USE THIS FILE</x:v>
      </x:c>
      <x:c r="B5" s="41" t="str"/>
      <x:c r="C5" s="41" t="str"/>
      <x:c r="D5" s="41" t="str"/>
      <x:c r="E5" s="41" t="str"/>
      <x:c r="F5" s="41" t="str"/>
      <x:c r="G5" s="41" t="str"/>
      <x:c r="H5" s="41" t="str"/>
    </x:row>
    <x:row r="6">
      <x:c r="A6" s="40"/>
      <x:c r="B6" s="40"/>
      <x:c r="C6" s="40"/>
      <x:c r="D6" s="40"/>
      <x:c r="E6" s="40"/>
      <x:c r="F6" s="40"/>
      <x:c r="G6" s="40"/>
      <x:c r="H6" s="40"/>
    </x:row>
    <x:row r="7">
      <x:c r="A7" s="36" t="str">
        <x:v>1</x:v>
      </x:c>
      <x:c r="B7" s="29" t="str">
        <x:v>Enter or update yearly records in DATA_ENTRY.</x:v>
      </x:c>
      <x:c r="C7" s="40"/>
      <x:c r="D7" s="40"/>
      <x:c r="E7" s="40"/>
      <x:c r="F7" s="40"/>
      <x:c r="G7" s="40"/>
      <x:c r="H7" s="40"/>
    </x:row>
    <x:row r="8">
      <x:c r="A8" s="36" t="str">
        <x:v>2</x:v>
      </x:c>
      <x:c r="B8" s="29" t="str">
        <x:v>Enter classroom totals in RESOURCES only when you need to update them.</x:v>
      </x:c>
      <x:c r="C8" s="40"/>
      <x:c r="D8" s="40"/>
      <x:c r="E8" s="40"/>
      <x:c r="F8" s="40"/>
      <x:c r="G8" s="40"/>
      <x:c r="H8" s="40"/>
    </x:row>
    <x:row r="9">
      <x:c r="A9" s="36" t="str">
        <x:v>3</x:v>
      </x:c>
      <x:c r="B9" s="29" t="str">
        <x:v>SUMMARY, COHORT_TRANSITION and PLANNING_TOOLS calculate results automatically.</x:v>
      </x:c>
      <x:c r="C9" s="40"/>
      <x:c r="D9" s="40"/>
      <x:c r="E9" s="40"/>
      <x:c r="F9" s="40"/>
      <x:c r="G9" s="40"/>
      <x:c r="H9" s="40"/>
    </x:row>
    <x:row r="10">
      <x:c r="A10" s="36" t="str">
        <x:v>4</x:v>
      </x:c>
      <x:c r="B10" s="29" t="str">
        <x:v>Use ACTION_PLANS for suggestions or school actions shown in the dashboard.</x:v>
      </x:c>
      <x:c r="C10" s="40"/>
      <x:c r="D10" s="40"/>
      <x:c r="E10" s="40"/>
      <x:c r="F10" s="40"/>
      <x:c r="G10" s="40"/>
      <x:c r="H10" s="40"/>
    </x:row>
    <x:row r="11">
      <x:c r="A11" s="36" t="str">
        <x:v>5</x:v>
      </x:c>
      <x:c r="B11" s="29" t="str">
        <x:v>Use USERS and ACTIVITY_LOG for account holders and recent activity in the dashboard.</x:v>
      </x:c>
      <x:c r="C11" s="40"/>
      <x:c r="D11" s="40"/>
      <x:c r="E11" s="40"/>
      <x:c r="F11" s="40"/>
      <x:c r="G11" s="40"/>
      <x:c r="H11" s="40"/>
    </x:row>
    <x:row r="12">
      <x:c r="A12" s="36" t="str">
        <x:v>6</x:v>
      </x:c>
      <x:c r="B12" s="29" t="str">
        <x:v>For a new year, fill the ready-made 2026-2027 blank rows, then add the following year in the same format.</x:v>
      </x:c>
      <x:c r="C12" s="40"/>
      <x:c r="D12" s="40"/>
      <x:c r="E12" s="40"/>
      <x:c r="F12" s="40"/>
      <x:c r="G12" s="40"/>
      <x:c r="H12" s="40"/>
    </x:row>
    <x:row r="13">
      <x:c r="A13" s="40"/>
      <x:c r="B13" s="40"/>
      <x:c r="C13" s="40"/>
      <x:c r="D13" s="40"/>
      <x:c r="E13" s="40"/>
      <x:c r="F13" s="40"/>
      <x:c r="G13" s="40"/>
      <x:c r="H13" s="40"/>
    </x:row>
    <x:row r="14">
      <x:c r="A14" s="40"/>
      <x:c r="B14" s="40"/>
      <x:c r="C14" s="40"/>
      <x:c r="D14" s="40"/>
      <x:c r="E14" s="40"/>
      <x:c r="F14" s="40"/>
      <x:c r="G14" s="40"/>
      <x:c r="H14" s="40"/>
    </x:row>
    <x:row r="15">
      <x:c r="A15" s="41" t="str">
        <x:v>WORKING DATA USED</x:v>
      </x:c>
      <x:c r="B15" s="41" t="str"/>
      <x:c r="C15" s="41" t="str"/>
      <x:c r="D15" s="41" t="str"/>
      <x:c r="E15" s="41" t="str"/>
      <x:c r="F15" s="41" t="str"/>
      <x:c r="G15" s="41" t="str"/>
      <x:c r="H15" s="41" t="str"/>
    </x:row>
    <x:row r="16">
      <x:c r="A16" s="40"/>
      <x:c r="B16" s="40"/>
      <x:c r="C16" s="40"/>
      <x:c r="D16" s="40"/>
      <x:c r="E16" s="40"/>
      <x:c r="F16" s="40"/>
      <x:c r="G16" s="40"/>
      <x:c r="H16" s="40"/>
    </x:row>
    <x:row r="17">
      <x:c r="A17" s="35" t="str">
        <x:v>Coverage</x:v>
      </x:c>
      <x:c r="B17" s="29" t="str">
        <x:v>School Year 2021-2022 to School Year 2025-2026</x:v>
      </x:c>
      <x:c r="C17" s="40"/>
      <x:c r="D17" s="40"/>
      <x:c r="E17" s="40"/>
      <x:c r="F17" s="40"/>
      <x:c r="G17" s="40"/>
      <x:c r="H17" s="40"/>
    </x:row>
    <x:row r="18">
      <x:c r="A18" s="35" t="str">
        <x:v>Primary working source</x:v>
      </x:c>
      <x:c r="B18" s="29" t="str">
        <x:v>School Profile Analysis document supplied for the project</x:v>
      </x:c>
      <x:c r="C18" s="40"/>
      <x:c r="D18" s="40"/>
      <x:c r="E18" s="40"/>
      <x:c r="F18" s="40"/>
      <x:c r="G18" s="40"/>
      <x:c r="H18" s="40"/>
    </x:row>
    <x:row r="19">
      <x:c r="A19" s="35" t="str">
        <x:v>Corrected arithmetic</x:v>
      </x:c>
      <x:c r="B19" s="29" t="str">
        <x:v>SY 2025-2026 enrollment totals compute as JHS 714, SHS 288, School Total 1,002.</x:v>
      </x:c>
      <x:c r="C19" s="40"/>
      <x:c r="D19" s="40"/>
      <x:c r="E19" s="40"/>
      <x:c r="F19" s="40"/>
      <x:c r="G19" s="40"/>
      <x:c r="H19" s="40"/>
    </x:row>
    <x:row r="20">
      <x:c r="A20" s="35" t="str">
        <x:v>Future use</x:v>
      </x:c>
      <x:c r="B20" s="29" t="str">
        <x:v>The dashboard can use this workbook as its editable data source and export updated copies.</x:v>
      </x:c>
      <x:c r="C20" s="40"/>
      <x:c r="D20" s="40"/>
      <x:c r="E20" s="40"/>
      <x:c r="F20" s="40"/>
      <x:c r="G20" s="40"/>
      <x:c r="H20" s="40"/>
    </x:row>
    <x:row r="22" ht="32" customHeight="1">
      <x:c r="A22" s="212" t="str">
        <x:v>Safe Updates</x:v>
      </x:c>
      <x:c r="B22" s="215" t="str">
        <x:v>Dashboard edits and Excel uploads are reflected in a newly downloaded Updated Excel workbook.</x:v>
      </x:c>
    </x:row>
    <x:row r="23" ht="32" customHeight="1">
      <x:c r="A23" s="212" t="str">
        <x:v>Delete / Undo</x:v>
      </x:c>
      <x:c r="B23" s="215" t="str">
        <x:v>The dashboard asks before important changes and includes Undo Last Data Change for accidental edits.</x:v>
      </x:c>
    </x:row>
    <x:row r="24" ht="32" customHeight="1">
      <x:c r="A24" s="212" t="str">
        <x:v>Future Year</x:v>
      </x:c>
      <x:c r="B24" s="215" t="str">
        <x:v>Add new school-year values in the dashboard or upload a revised Excel workbook.</x:v>
      </x:c>
    </x:row>
  </x:sheetData>
  <x:mergeCells>
    <x:mergeCell ref="A1:H2"/>
    <x:mergeCell ref="A3:H3"/>
    <x:mergeCell ref="A5:H5"/>
    <x:mergeCell ref="A15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6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15" hidden="0" customWidth="1"/>
    <x:col min="9" max="9" width="16" hidden="0" customWidth="1"/>
  </x:cols>
  <x:sheetData>
    <x:row r="1" ht="34" customHeight="1">
      <x:c r="A1" s="6" t="str">
        <x:v>School Records Input</x:v>
      </x:c>
      <x:c r="B1" s="6"/>
      <x:c r="C1" s="6"/>
      <x:c r="D1" s="6"/>
      <x:c r="E1" s="6"/>
      <x:c r="F1" s="6"/>
      <x:c r="G1" s="6"/>
      <x:c r="H1" s="6"/>
      <x:c r="I1" s="6"/>
    </x:row>
    <x:row r="2" ht="34" customHeight="1">
      <x:c r="A2" s="6"/>
      <x:c r="B2" s="6"/>
      <x:c r="C2" s="6"/>
      <x:c r="D2" s="6"/>
      <x:c r="E2" s="6"/>
      <x:c r="F2" s="6"/>
      <x:c r="G2" s="6"/>
      <x:c r="H2" s="6"/>
      <x:c r="I2" s="6"/>
    </x:row>
    <x:row r="3" ht="28" customHeight="1">
      <x:c r="A3" s="16" t="str">
        <x:v>Edit the white/yellow input cells. Green-rate columns compute automatically.</x:v>
      </x:c>
      <x:c r="B3" s="16"/>
      <x:c r="C3" s="16"/>
      <x:c r="D3" s="16"/>
      <x:c r="E3" s="16"/>
      <x:c r="F3" s="16"/>
      <x:c r="G3" s="16"/>
      <x:c r="H3" s="16"/>
      <x:c r="I3" s="16"/>
    </x:row>
    <x:row r="5" ht="30" customHeight="1">
      <x:c r="A5" s="47" t="str">
        <x:v>School Year</x:v>
      </x:c>
      <x:c r="B5" s="47" t="str">
        <x:v>Level</x:v>
      </x:c>
      <x:c r="C5" s="47" t="str">
        <x:v>Grade Level</x:v>
      </x:c>
      <x:c r="D5" s="47" t="str">
        <x:v>Enrollment</x:v>
      </x:c>
      <x:c r="E5" s="47" t="str">
        <x:v>Dropouts</x:v>
      </x:c>
      <x:c r="F5" s="47" t="str">
        <x:v>Repeaters</x:v>
      </x:c>
      <x:c r="G5" s="47" t="str">
        <x:v>Teachers</x:v>
      </x:c>
      <x:c r="H5" s="47" t="str">
        <x:v>Dropout Rate</x:v>
      </x:c>
      <x:c r="I5" s="47" t="str">
        <x:v>Repeater Rate</x:v>
      </x:c>
    </x:row>
    <x:row r="6">
      <x:c r="A6" s="53" t="str">
        <x:v>2021-2022</x:v>
      </x:c>
      <x:c r="B6" s="53" t="str">
        <x:v>JHS</x:v>
      </x:c>
      <x:c r="C6" s="53" t="str">
        <x:v>Grade 7</x:v>
      </x:c>
      <x:c r="D6" s="112" t="n">
        <x:v>262</x:v>
      </x:c>
      <x:c r="E6" s="112" t="n">
        <x:v>1</x:v>
      </x:c>
      <x:c r="F6" s="112" t="n">
        <x:v>7</x:v>
      </x:c>
      <x:c r="G6" s="112" t="n">
        <x:v>11</x:v>
      </x:c>
      <x:c r="H6" s="57" t="n">
        <x:f>IF(D6="","",IFERROR(E6/D6,0))</x:f>
        <x:v>0.003816793893129771</x:v>
      </x:c>
      <x:c r="I6" s="57" t="n">
        <x:f>IF(D6="","",IFERROR(F6/D6,0))</x:f>
        <x:v>0.026717557251908396</x:v>
      </x:c>
    </x:row>
    <x:row r="7">
      <x:c r="A7" s="53" t="str">
        <x:v>2021-2022</x:v>
      </x:c>
      <x:c r="B7" s="53" t="str">
        <x:v>JHS</x:v>
      </x:c>
      <x:c r="C7" s="53" t="str">
        <x:v>Grade 8</x:v>
      </x:c>
      <x:c r="D7" s="112" t="n">
        <x:v>266</x:v>
      </x:c>
      <x:c r="E7" s="112" t="n">
        <x:v>2</x:v>
      </x:c>
      <x:c r="F7" s="112" t="n">
        <x:v>4</x:v>
      </x:c>
      <x:c r="G7" s="112" t="n">
        <x:v>11</x:v>
      </x:c>
      <x:c r="H7" s="57" t="n">
        <x:f>IF(D7="","",IFERROR(E7/D7,0))</x:f>
        <x:v>0.007518796992481203</x:v>
      </x:c>
      <x:c r="I7" s="57" t="n">
        <x:f>IF(D7="","",IFERROR(F7/D7,0))</x:f>
        <x:v>0.015037593984962405</x:v>
      </x:c>
    </x:row>
    <x:row r="8">
      <x:c r="A8" s="53" t="str">
        <x:v>2021-2022</x:v>
      </x:c>
      <x:c r="B8" s="53" t="str">
        <x:v>JHS</x:v>
      </x:c>
      <x:c r="C8" s="53" t="str">
        <x:v>Grade 9</x:v>
      </x:c>
      <x:c r="D8" s="112" t="n">
        <x:v>241</x:v>
      </x:c>
      <x:c r="E8" s="112" t="n">
        <x:v>4</x:v>
      </x:c>
      <x:c r="F8" s="112" t="n">
        <x:v>3</x:v>
      </x:c>
      <x:c r="G8" s="112" t="n">
        <x:v>6</x:v>
      </x:c>
      <x:c r="H8" s="57" t="n">
        <x:f>IF(D8="","",IFERROR(E8/D8,0))</x:f>
        <x:v>0.016597510373443983</x:v>
      </x:c>
      <x:c r="I8" s="57" t="n">
        <x:f>IF(D8="","",IFERROR(F8/D8,0))</x:f>
        <x:v>0.012448132780082987</x:v>
      </x:c>
    </x:row>
    <x:row r="9">
      <x:c r="A9" s="53" t="str">
        <x:v>2021-2022</x:v>
      </x:c>
      <x:c r="B9" s="53" t="str">
        <x:v>JHS</x:v>
      </x:c>
      <x:c r="C9" s="53" t="str">
        <x:v>Grade 10</x:v>
      </x:c>
      <x:c r="D9" s="112" t="n">
        <x:v>224</x:v>
      </x:c>
      <x:c r="E9" s="112" t="n">
        <x:v>2</x:v>
      </x:c>
      <x:c r="F9" s="112" t="n">
        <x:v>1</x:v>
      </x:c>
      <x:c r="G9" s="112" t="n">
        <x:v>10</x:v>
      </x:c>
      <x:c r="H9" s="57" t="n">
        <x:f>IF(D9="","",IFERROR(E9/D9,0))</x:f>
        <x:v>0.008928571428571428</x:v>
      </x:c>
      <x:c r="I9" s="57" t="n">
        <x:f>IF(D9="","",IFERROR(F9/D9,0))</x:f>
        <x:v>0.004464285714285714</x:v>
      </x:c>
    </x:row>
    <x:row r="10">
      <x:c r="A10" s="53" t="str">
        <x:v>2021-2022</x:v>
      </x:c>
      <x:c r="B10" s="53" t="str">
        <x:v>SHS</x:v>
      </x:c>
      <x:c r="C10" s="53" t="str">
        <x:v>Grade 11</x:v>
      </x:c>
      <x:c r="D10" s="112" t="n">
        <x:v>198</x:v>
      </x:c>
      <x:c r="E10" s="112" t="n">
        <x:v>3</x:v>
      </x:c>
      <x:c r="F10" s="112" t="n">
        <x:v>2</x:v>
      </x:c>
      <x:c r="G10" s="112" t="n">
        <x:v>8</x:v>
      </x:c>
      <x:c r="H10" s="57" t="n">
        <x:f>IF(D10="","",IFERROR(E10/D10,0))</x:f>
        <x:v>0.015151515151515152</x:v>
      </x:c>
      <x:c r="I10" s="57" t="n">
        <x:f>IF(D10="","",IFERROR(F10/D10,0))</x:f>
        <x:v>0.010101010101010102</x:v>
      </x:c>
    </x:row>
    <x:row r="11">
      <x:c r="A11" s="53" t="str">
        <x:v>2021-2022</x:v>
      </x:c>
      <x:c r="B11" s="53" t="str">
        <x:v>SHS</x:v>
      </x:c>
      <x:c r="C11" s="53" t="str">
        <x:v>Grade 12</x:v>
      </x:c>
      <x:c r="D11" s="112" t="n">
        <x:v>189</x:v>
      </x:c>
      <x:c r="E11" s="112" t="n">
        <x:v>0</x:v>
      </x:c>
      <x:c r="F11" s="112" t="n">
        <x:v>3</x:v>
      </x:c>
      <x:c r="G11" s="112" t="n">
        <x:v>6</x:v>
      </x:c>
      <x:c r="H11" s="57" t="n">
        <x:f>IF(D11="","",IFERROR(E11/D11,0))</x:f>
        <x:v>0</x:v>
      </x:c>
      <x:c r="I11" s="57" t="n">
        <x:f>IF(D11="","",IFERROR(F11/D11,0))</x:f>
        <x:v>0.015873015873015872</x:v>
      </x:c>
    </x:row>
    <x:row r="12">
      <x:c r="A12" s="53" t="str">
        <x:v>2022-2023</x:v>
      </x:c>
      <x:c r="B12" s="53" t="str">
        <x:v>JHS</x:v>
      </x:c>
      <x:c r="C12" s="53" t="str">
        <x:v>Grade 7</x:v>
      </x:c>
      <x:c r="D12" s="112" t="n">
        <x:v>205</x:v>
      </x:c>
      <x:c r="E12" s="112" t="n">
        <x:v>0</x:v>
      </x:c>
      <x:c r="F12" s="112" t="n">
        <x:v>3</x:v>
      </x:c>
      <x:c r="G12" s="112" t="n">
        <x:v>10</x:v>
      </x:c>
      <x:c r="H12" s="57" t="n">
        <x:f>IF(D12="","",IFERROR(E12/D12,0))</x:f>
        <x:v>0</x:v>
      </x:c>
      <x:c r="I12" s="57" t="n">
        <x:f>IF(D12="","",IFERROR(F12/D12,0))</x:f>
        <x:v>0.014634146341463415</x:v>
      </x:c>
    </x:row>
    <x:row r="13">
      <x:c r="A13" s="53" t="str">
        <x:v>2022-2023</x:v>
      </x:c>
      <x:c r="B13" s="53" t="str">
        <x:v>JHS</x:v>
      </x:c>
      <x:c r="C13" s="53" t="str">
        <x:v>Grade 8</x:v>
      </x:c>
      <x:c r="D13" s="112" t="n">
        <x:v>267</x:v>
      </x:c>
      <x:c r="E13" s="112" t="n">
        <x:v>1</x:v>
      </x:c>
      <x:c r="F13" s="112" t="n">
        <x:v>6</x:v>
      </x:c>
      <x:c r="G13" s="112" t="n">
        <x:v>10</x:v>
      </x:c>
      <x:c r="H13" s="57" t="n">
        <x:f>IF(D13="","",IFERROR(E13/D13,0))</x:f>
        <x:v>0.003745318352059925</x:v>
      </x:c>
      <x:c r="I13" s="57" t="n">
        <x:f>IF(D13="","",IFERROR(F13/D13,0))</x:f>
        <x:v>0.02247191011235955</x:v>
      </x:c>
    </x:row>
    <x:row r="14">
      <x:c r="A14" s="53" t="str">
        <x:v>2022-2023</x:v>
      </x:c>
      <x:c r="B14" s="53" t="str">
        <x:v>JHS</x:v>
      </x:c>
      <x:c r="C14" s="53" t="str">
        <x:v>Grade 9</x:v>
      </x:c>
      <x:c r="D14" s="112" t="n">
        <x:v>258</x:v>
      </x:c>
      <x:c r="E14" s="112" t="n">
        <x:v>1</x:v>
      </x:c>
      <x:c r="F14" s="112" t="n">
        <x:v>9</x:v>
      </x:c>
      <x:c r="G14" s="112" t="n">
        <x:v>8</x:v>
      </x:c>
      <x:c r="H14" s="57" t="n">
        <x:f>IF(D14="","",IFERROR(E14/D14,0))</x:f>
        <x:v>0.003875968992248062</x:v>
      </x:c>
      <x:c r="I14" s="57" t="n">
        <x:f>IF(D14="","",IFERROR(F14/D14,0))</x:f>
        <x:v>0.03488372093023256</x:v>
      </x:c>
    </x:row>
    <x:row r="15">
      <x:c r="A15" s="53" t="str">
        <x:v>2022-2023</x:v>
      </x:c>
      <x:c r="B15" s="53" t="str">
        <x:v>JHS</x:v>
      </x:c>
      <x:c r="C15" s="53" t="str">
        <x:v>Grade 10</x:v>
      </x:c>
      <x:c r="D15" s="112" t="n">
        <x:v>224</x:v>
      </x:c>
      <x:c r="E15" s="112" t="n">
        <x:v>0</x:v>
      </x:c>
      <x:c r="F15" s="112" t="n">
        <x:v>3</x:v>
      </x:c>
      <x:c r="G15" s="112" t="n">
        <x:v>10</x:v>
      </x:c>
      <x:c r="H15" s="57" t="n">
        <x:f>IF(D15="","",IFERROR(E15/D15,0))</x:f>
        <x:v>0</x:v>
      </x:c>
      <x:c r="I15" s="57" t="n">
        <x:f>IF(D15="","",IFERROR(F15/D15,0))</x:f>
        <x:v>0.013392857142857142</x:v>
      </x:c>
    </x:row>
    <x:row r="16">
      <x:c r="A16" s="53" t="str">
        <x:v>2022-2023</x:v>
      </x:c>
      <x:c r="B16" s="53" t="str">
        <x:v>SHS</x:v>
      </x:c>
      <x:c r="C16" s="53" t="str">
        <x:v>Grade 11</x:v>
      </x:c>
      <x:c r="D16" s="112" t="n">
        <x:v>182</x:v>
      </x:c>
      <x:c r="E16" s="112" t="n">
        <x:v>0</x:v>
      </x:c>
      <x:c r="F16" s="112" t="n">
        <x:v>3</x:v>
      </x:c>
      <x:c r="G16" s="112" t="n">
        <x:v>8</x:v>
      </x:c>
      <x:c r="H16" s="57" t="n">
        <x:f>IF(D16="","",IFERROR(E16/D16,0))</x:f>
        <x:v>0</x:v>
      </x:c>
      <x:c r="I16" s="57" t="n">
        <x:f>IF(D16="","",IFERROR(F16/D16,0))</x:f>
        <x:v>0.016483516483516484</x:v>
      </x:c>
    </x:row>
    <x:row r="17">
      <x:c r="A17" s="53" t="str">
        <x:v>2022-2023</x:v>
      </x:c>
      <x:c r="B17" s="53" t="str">
        <x:v>SHS</x:v>
      </x:c>
      <x:c r="C17" s="53" t="str">
        <x:v>Grade 12</x:v>
      </x:c>
      <x:c r="D17" s="112" t="n">
        <x:v>169</x:v>
      </x:c>
      <x:c r="E17" s="112" t="n">
        <x:v>0</x:v>
      </x:c>
      <x:c r="F17" s="112" t="n">
        <x:v>1</x:v>
      </x:c>
      <x:c r="G17" s="112" t="n">
        <x:v>7</x:v>
      </x:c>
      <x:c r="H17" s="57" t="n">
        <x:f>IF(D17="","",IFERROR(E17/D17,0))</x:f>
        <x:v>0</x:v>
      </x:c>
      <x:c r="I17" s="57" t="n">
        <x:f>IF(D17="","",IFERROR(F17/D17,0))</x:f>
        <x:v>0.005917159763313609</x:v>
      </x:c>
    </x:row>
    <x:row r="18">
      <x:c r="A18" s="53" t="str">
        <x:v>2023-2024</x:v>
      </x:c>
      <x:c r="B18" s="53" t="str">
        <x:v>JHS</x:v>
      </x:c>
      <x:c r="C18" s="53" t="str">
        <x:v>Grade 7</x:v>
      </x:c>
      <x:c r="D18" s="112" t="n">
        <x:v>160</x:v>
      </x:c>
      <x:c r="E18" s="112" t="n">
        <x:v>0</x:v>
      </x:c>
      <x:c r="F18" s="112" t="n">
        <x:v>5</x:v>
      </x:c>
      <x:c r="G18" s="112" t="n">
        <x:v>9</x:v>
      </x:c>
      <x:c r="H18" s="57" t="n">
        <x:f>IF(D18="","",IFERROR(E18/D18,0))</x:f>
        <x:v>0</x:v>
      </x:c>
      <x:c r="I18" s="57" t="n">
        <x:f>IF(D18="","",IFERROR(F18/D18,0))</x:f>
        <x:v>0.03125</x:v>
      </x:c>
    </x:row>
    <x:row r="19">
      <x:c r="A19" s="53" t="str">
        <x:v>2023-2024</x:v>
      </x:c>
      <x:c r="B19" s="53" t="str">
        <x:v>JHS</x:v>
      </x:c>
      <x:c r="C19" s="53" t="str">
        <x:v>Grade 8</x:v>
      </x:c>
      <x:c r="D19" s="112" t="n">
        <x:v>196</x:v>
      </x:c>
      <x:c r="E19" s="112" t="n">
        <x:v>0</x:v>
      </x:c>
      <x:c r="F19" s="112" t="n">
        <x:v>12</x:v>
      </x:c>
      <x:c r="G19" s="112" t="n">
        <x:v>9</x:v>
      </x:c>
      <x:c r="H19" s="57" t="n">
        <x:f>IF(D19="","",IFERROR(E19/D19,0))</x:f>
        <x:v>0</x:v>
      </x:c>
      <x:c r="I19" s="57" t="n">
        <x:f>IF(D19="","",IFERROR(F19/D19,0))</x:f>
        <x:v>0.061224489795918366</x:v>
      </x:c>
    </x:row>
    <x:row r="20">
      <x:c r="A20" s="53" t="str">
        <x:v>2023-2024</x:v>
      </x:c>
      <x:c r="B20" s="53" t="str">
        <x:v>JHS</x:v>
      </x:c>
      <x:c r="C20" s="53" t="str">
        <x:v>Grade 9</x:v>
      </x:c>
      <x:c r="D20" s="112" t="n">
        <x:v>258</x:v>
      </x:c>
      <x:c r="E20" s="112" t="n">
        <x:v>1</x:v>
      </x:c>
      <x:c r="F20" s="112" t="n">
        <x:v>12</x:v>
      </x:c>
      <x:c r="G20" s="112" t="n">
        <x:v>8</x:v>
      </x:c>
      <x:c r="H20" s="57" t="n">
        <x:f>IF(D20="","",IFERROR(E20/D20,0))</x:f>
        <x:v>0.003875968992248062</x:v>
      </x:c>
      <x:c r="I20" s="57" t="n">
        <x:f>IF(D20="","",IFERROR(F20/D20,0))</x:f>
        <x:v>0.046511627906976744</x:v>
      </x:c>
    </x:row>
    <x:row r="21">
      <x:c r="A21" s="53" t="str">
        <x:v>2023-2024</x:v>
      </x:c>
      <x:c r="B21" s="53" t="str">
        <x:v>JHS</x:v>
      </x:c>
      <x:c r="C21" s="53" t="str">
        <x:v>Grade 10</x:v>
      </x:c>
      <x:c r="D21" s="112" t="n">
        <x:v>239</x:v>
      </x:c>
      <x:c r="E21" s="112" t="n">
        <x:v>1</x:v>
      </x:c>
      <x:c r="F21" s="112" t="n">
        <x:v>7</x:v>
      </x:c>
      <x:c r="G21" s="112" t="n">
        <x:v>8</x:v>
      </x:c>
      <x:c r="H21" s="57" t="n">
        <x:f>IF(D21="","",IFERROR(E21/D21,0))</x:f>
        <x:v>0.0041841004184100415</x:v>
      </x:c>
      <x:c r="I21" s="57" t="n">
        <x:f>IF(D21="","",IFERROR(F21/D21,0))</x:f>
        <x:v>0.029288702928870293</x:v>
      </x:c>
    </x:row>
    <x:row r="22">
      <x:c r="A22" s="53" t="str">
        <x:v>2023-2024</x:v>
      </x:c>
      <x:c r="B22" s="53" t="str">
        <x:v>SHS</x:v>
      </x:c>
      <x:c r="C22" s="53" t="str">
        <x:v>Grade 11</x:v>
      </x:c>
      <x:c r="D22" s="112" t="n">
        <x:v>153</x:v>
      </x:c>
      <x:c r="E22" s="112" t="n">
        <x:v>1</x:v>
      </x:c>
      <x:c r="F22" s="112" t="n">
        <x:v>5</x:v>
      </x:c>
      <x:c r="G22" s="112" t="n">
        <x:v>8</x:v>
      </x:c>
      <x:c r="H22" s="57" t="n">
        <x:f>IF(D22="","",IFERROR(E22/D22,0))</x:f>
        <x:v>0.006535947712418301</x:v>
      </x:c>
      <x:c r="I22" s="57" t="n">
        <x:f>IF(D22="","",IFERROR(F22/D22,0))</x:f>
        <x:v>0.032679738562091505</x:v>
      </x:c>
    </x:row>
    <x:row r="23">
      <x:c r="A23" s="53" t="str">
        <x:v>2023-2024</x:v>
      </x:c>
      <x:c r="B23" s="53" t="str">
        <x:v>SHS</x:v>
      </x:c>
      <x:c r="C23" s="53" t="str">
        <x:v>Grade 12</x:v>
      </x:c>
      <x:c r="D23" s="112" t="n">
        <x:v>168</x:v>
      </x:c>
      <x:c r="E23" s="112" t="n">
        <x:v>0</x:v>
      </x:c>
      <x:c r="F23" s="112" t="n">
        <x:v>0</x:v>
      </x:c>
      <x:c r="G23" s="112" t="n">
        <x:v>8</x:v>
      </x:c>
      <x:c r="H23" s="57" t="n">
        <x:f>IF(D23="","",IFERROR(E23/D23,0))</x:f>
        <x:v>0</x:v>
      </x:c>
      <x:c r="I23" s="57" t="n">
        <x:f>IF(D23="","",IFERROR(F23/D23,0))</x:f>
        <x:v>0</x:v>
      </x:c>
    </x:row>
    <x:row r="24">
      <x:c r="A24" s="53" t="str">
        <x:v>2024-2025</x:v>
      </x:c>
      <x:c r="B24" s="53" t="str">
        <x:v>JHS</x:v>
      </x:c>
      <x:c r="C24" s="53" t="str">
        <x:v>Grade 7</x:v>
      </x:c>
      <x:c r="D24" s="112" t="n">
        <x:v>198</x:v>
      </x:c>
      <x:c r="E24" s="112" t="n">
        <x:v>0</x:v>
      </x:c>
      <x:c r="F24" s="112" t="n">
        <x:v>4</x:v>
      </x:c>
      <x:c r="G24" s="112" t="n">
        <x:v>9</x:v>
      </x:c>
      <x:c r="H24" s="57" t="n">
        <x:f>IF(D24="","",IFERROR(E24/D24,0))</x:f>
        <x:v>0</x:v>
      </x:c>
      <x:c r="I24" s="57" t="n">
        <x:f>IF(D24="","",IFERROR(F24/D24,0))</x:f>
        <x:v>0.020202020202020204</x:v>
      </x:c>
    </x:row>
    <x:row r="25">
      <x:c r="A25" s="53" t="str">
        <x:v>2024-2025</x:v>
      </x:c>
      <x:c r="B25" s="53" t="str">
        <x:v>JHS</x:v>
      </x:c>
      <x:c r="C25" s="53" t="str">
        <x:v>Grade 8</x:v>
      </x:c>
      <x:c r="D25" s="112" t="n">
        <x:v>160</x:v>
      </x:c>
      <x:c r="E25" s="112" t="n">
        <x:v>4</x:v>
      </x:c>
      <x:c r="F25" s="112" t="n">
        <x:v>0</x:v>
      </x:c>
      <x:c r="G25" s="112" t="n">
        <x:v>9</x:v>
      </x:c>
      <x:c r="H25" s="57" t="n">
        <x:f>IF(D25="","",IFERROR(E25/D25,0))</x:f>
        <x:v>0.025</x:v>
      </x:c>
      <x:c r="I25" s="57" t="n">
        <x:f>IF(D25="","",IFERROR(F25/D25,0))</x:f>
        <x:v>0</x:v>
      </x:c>
    </x:row>
    <x:row r="26">
      <x:c r="A26" s="53" t="str">
        <x:v>2024-2025</x:v>
      </x:c>
      <x:c r="B26" s="53" t="str">
        <x:v>JHS</x:v>
      </x:c>
      <x:c r="C26" s="53" t="str">
        <x:v>Grade 9</x:v>
      </x:c>
      <x:c r="D26" s="112" t="n">
        <x:v>190</x:v>
      </x:c>
      <x:c r="E26" s="112" t="n">
        <x:v>1</x:v>
      </x:c>
      <x:c r="F26" s="112" t="n">
        <x:v>5</x:v>
      </x:c>
      <x:c r="G26" s="112" t="n">
        <x:v>8</x:v>
      </x:c>
      <x:c r="H26" s="57" t="n">
        <x:f>IF(D26="","",IFERROR(E26/D26,0))</x:f>
        <x:v>0.005263157894736842</x:v>
      </x:c>
      <x:c r="I26" s="57" t="n">
        <x:f>IF(D26="","",IFERROR(F26/D26,0))</x:f>
        <x:v>0.02631578947368421</x:v>
      </x:c>
    </x:row>
    <x:row r="27">
      <x:c r="A27" s="53" t="str">
        <x:v>2024-2025</x:v>
      </x:c>
      <x:c r="B27" s="53" t="str">
        <x:v>JHS</x:v>
      </x:c>
      <x:c r="C27" s="53" t="str">
        <x:v>Grade 10</x:v>
      </x:c>
      <x:c r="D27" s="112" t="n">
        <x:v>235</x:v>
      </x:c>
      <x:c r="E27" s="112" t="n">
        <x:v>0</x:v>
      </x:c>
      <x:c r="F27" s="112" t="n">
        <x:v>8</x:v>
      </x:c>
      <x:c r="G27" s="112" t="n">
        <x:v>8</x:v>
      </x:c>
      <x:c r="H27" s="57" t="n">
        <x:f>IF(D27="","",IFERROR(E27/D27,0))</x:f>
        <x:v>0</x:v>
      </x:c>
      <x:c r="I27" s="57" t="n">
        <x:f>IF(D27="","",IFERROR(F27/D27,0))</x:f>
        <x:v>0.03404255319148936</x:v>
      </x:c>
    </x:row>
    <x:row r="28">
      <x:c r="A28" s="53" t="str">
        <x:v>2024-2025</x:v>
      </x:c>
      <x:c r="B28" s="53" t="str">
        <x:v>SHS</x:v>
      </x:c>
      <x:c r="C28" s="53" t="str">
        <x:v>Grade 11</x:v>
      </x:c>
      <x:c r="D28" s="112" t="n">
        <x:v>158</x:v>
      </x:c>
      <x:c r="E28" s="112" t="n">
        <x:v>0</x:v>
      </x:c>
      <x:c r="F28" s="112" t="n">
        <x:v>1</x:v>
      </x:c>
      <x:c r="G28" s="112" t="n">
        <x:v>8</x:v>
      </x:c>
      <x:c r="H28" s="57" t="n">
        <x:f>IF(D28="","",IFERROR(E28/D28,0))</x:f>
        <x:v>0</x:v>
      </x:c>
      <x:c r="I28" s="57" t="n">
        <x:f>IF(D28="","",IFERROR(F28/D28,0))</x:f>
        <x:v>0.006329113924050633</x:v>
      </x:c>
    </x:row>
    <x:row r="29">
      <x:c r="A29" s="53" t="str">
        <x:v>2024-2025</x:v>
      </x:c>
      <x:c r="B29" s="53" t="str">
        <x:v>SHS</x:v>
      </x:c>
      <x:c r="C29" s="53" t="str">
        <x:v>Grade 12</x:v>
      </x:c>
      <x:c r="D29" s="112" t="n">
        <x:v>148</x:v>
      </x:c>
      <x:c r="E29" s="112" t="n">
        <x:v>5</x:v>
      </x:c>
      <x:c r="F29" s="112" t="n">
        <x:v>1</x:v>
      </x:c>
      <x:c r="G29" s="112" t="n">
        <x:v>8</x:v>
      </x:c>
      <x:c r="H29" s="57" t="n">
        <x:f>IF(D29="","",IFERROR(E29/D29,0))</x:f>
        <x:v>0.033783783783783786</x:v>
      </x:c>
      <x:c r="I29" s="57" t="n">
        <x:f>IF(D29="","",IFERROR(F29/D29,0))</x:f>
        <x:v>0.006756756756756757</x:v>
      </x:c>
    </x:row>
    <x:row r="30">
      <x:c r="A30" s="53" t="str">
        <x:v>2025-2026</x:v>
      </x:c>
      <x:c r="B30" s="53" t="str">
        <x:v>JHS</x:v>
      </x:c>
      <x:c r="C30" s="53" t="str">
        <x:v>Grade 7</x:v>
      </x:c>
      <x:c r="D30" s="112" t="n">
        <x:v>194</x:v>
      </x:c>
      <x:c r="E30" s="112" t="n">
        <x:v>0</x:v>
      </x:c>
      <x:c r="F30" s="112" t="n">
        <x:v>4</x:v>
      </x:c>
      <x:c r="G30" s="112" t="n">
        <x:v>9</x:v>
      </x:c>
      <x:c r="H30" s="57" t="n">
        <x:f>IF(D30="","",IFERROR(E30/D30,0))</x:f>
        <x:v>0</x:v>
      </x:c>
      <x:c r="I30" s="57" t="n">
        <x:f>IF(D30="","",IFERROR(F30/D30,0))</x:f>
        <x:v>0.020618556701030927</x:v>
      </x:c>
    </x:row>
    <x:row r="31">
      <x:c r="A31" s="53" t="str">
        <x:v>2025-2026</x:v>
      </x:c>
      <x:c r="B31" s="53" t="str">
        <x:v>JHS</x:v>
      </x:c>
      <x:c r="C31" s="53" t="str">
        <x:v>Grade 8</x:v>
      </x:c>
      <x:c r="D31" s="112" t="n">
        <x:v>187</x:v>
      </x:c>
      <x:c r="E31" s="112" t="n">
        <x:v>2</x:v>
      </x:c>
      <x:c r="F31" s="112" t="n">
        <x:v>6</x:v>
      </x:c>
      <x:c r="G31" s="112" t="n">
        <x:v>9</x:v>
      </x:c>
      <x:c r="H31" s="57" t="n">
        <x:f>IF(D31="","",IFERROR(E31/D31,0))</x:f>
        <x:v>0.0106951871657754</x:v>
      </x:c>
      <x:c r="I31" s="57" t="n">
        <x:f>IF(D31="","",IFERROR(F31/D31,0))</x:f>
        <x:v>0.03208556149732621</x:v>
      </x:c>
    </x:row>
    <x:row r="32">
      <x:c r="A32" s="53" t="str">
        <x:v>2025-2026</x:v>
      </x:c>
      <x:c r="B32" s="53" t="str">
        <x:v>JHS</x:v>
      </x:c>
      <x:c r="C32" s="53" t="str">
        <x:v>Grade 9</x:v>
      </x:c>
      <x:c r="D32" s="112" t="n">
        <x:v>157</x:v>
      </x:c>
      <x:c r="E32" s="112" t="n">
        <x:v>4</x:v>
      </x:c>
      <x:c r="F32" s="112" t="n">
        <x:v>6</x:v>
      </x:c>
      <x:c r="G32" s="112" t="n">
        <x:v>8</x:v>
      </x:c>
      <x:c r="H32" s="57" t="n">
        <x:f>IF(D32="","",IFERROR(E32/D32,0))</x:f>
        <x:v>0.025477707006369428</x:v>
      </x:c>
      <x:c r="I32" s="57" t="n">
        <x:f>IF(D32="","",IFERROR(F32/D32,0))</x:f>
        <x:v>0.03821656050955414</x:v>
      </x:c>
    </x:row>
    <x:row r="33">
      <x:c r="A33" s="53" t="str">
        <x:v>2025-2026</x:v>
      </x:c>
      <x:c r="B33" s="53" t="str">
        <x:v>JHS</x:v>
      </x:c>
      <x:c r="C33" s="53" t="str">
        <x:v>Grade 10</x:v>
      </x:c>
      <x:c r="D33" s="112" t="n">
        <x:v>176</x:v>
      </x:c>
      <x:c r="E33" s="112" t="n">
        <x:v>0</x:v>
      </x:c>
      <x:c r="F33" s="112" t="n">
        <x:v>5</x:v>
      </x:c>
      <x:c r="G33" s="112" t="n">
        <x:v>8</x:v>
      </x:c>
      <x:c r="H33" s="57" t="n">
        <x:f>IF(D33="","",IFERROR(E33/D33,0))</x:f>
        <x:v>0</x:v>
      </x:c>
      <x:c r="I33" s="57" t="n">
        <x:f>IF(D33="","",IFERROR(F33/D33,0))</x:f>
        <x:v>0.028409090909090908</x:v>
      </x:c>
    </x:row>
    <x:row r="34">
      <x:c r="A34" s="53" t="str">
        <x:v>2025-2026</x:v>
      </x:c>
      <x:c r="B34" s="53" t="str">
        <x:v>SHS</x:v>
      </x:c>
      <x:c r="C34" s="53" t="str">
        <x:v>Grade 11</x:v>
      </x:c>
      <x:c r="D34" s="112" t="n">
        <x:v>132</x:v>
      </x:c>
      <x:c r="E34" s="112" t="n">
        <x:v>0</x:v>
      </x:c>
      <x:c r="F34" s="112" t="n">
        <x:v>0</x:v>
      </x:c>
      <x:c r="G34" s="112" t="n">
        <x:v>8</x:v>
      </x:c>
      <x:c r="H34" s="57" t="n">
        <x:f>IF(D34="","",IFERROR(E34/D34,0))</x:f>
        <x:v>0</x:v>
      </x:c>
      <x:c r="I34" s="57" t="n">
        <x:f>IF(D34="","",IFERROR(F34/D34,0))</x:f>
        <x:v>0</x:v>
      </x:c>
    </x:row>
    <x:row r="35">
      <x:c r="A35" s="53" t="str">
        <x:v>2025-2026</x:v>
      </x:c>
      <x:c r="B35" s="53" t="str">
        <x:v>SHS</x:v>
      </x:c>
      <x:c r="C35" s="53" t="str">
        <x:v>Grade 12</x:v>
      </x:c>
      <x:c r="D35" s="112" t="n">
        <x:v>156</x:v>
      </x:c>
      <x:c r="E35" s="112" t="n">
        <x:v>0</x:v>
      </x:c>
      <x:c r="F35" s="112" t="n">
        <x:v>0</x:v>
      </x:c>
      <x:c r="G35" s="112" t="n">
        <x:v>8</x:v>
      </x:c>
      <x:c r="H35" s="57" t="n">
        <x:f>IF(D35="","",IFERROR(E35/D35,0))</x:f>
        <x:v>0</x:v>
      </x:c>
      <x:c r="I35" s="57" t="n">
        <x:f>IF(D35="","",IFERROR(F35/D35,0))</x:f>
        <x:v>0</x:v>
      </x:c>
    </x:row>
    <x:row r="36">
      <x:c r="A36" s="62" t="str">
        <x:v>2026-2027</x:v>
      </x:c>
      <x:c r="B36" s="62" t="str">
        <x:v>JHS</x:v>
      </x:c>
      <x:c r="C36" s="62" t="str">
        <x:v>Grade 7</x:v>
      </x:c>
      <x:c r="D36" s="113"/>
      <x:c r="E36" s="113"/>
      <x:c r="F36" s="113"/>
      <x:c r="G36" s="113"/>
      <x:c r="H36" s="63" t="str">
        <x:f>IF(D36="","",IFERROR(E36/D36,0))</x:f>
      </x:c>
      <x:c r="I36" s="63" t="str">
        <x:f>IF(D36="","",IFERROR(F36/D36,0))</x:f>
      </x:c>
    </x:row>
    <x:row r="37">
      <x:c r="A37" s="62" t="str">
        <x:v>2026-2027</x:v>
      </x:c>
      <x:c r="B37" s="62" t="str">
        <x:v>JHS</x:v>
      </x:c>
      <x:c r="C37" s="62" t="str">
        <x:v>Grade 8</x:v>
      </x:c>
      <x:c r="D37" s="113"/>
      <x:c r="E37" s="113"/>
      <x:c r="F37" s="113"/>
      <x:c r="G37" s="113"/>
      <x:c r="H37" s="63" t="str">
        <x:f>IF(D37="","",IFERROR(E37/D37,0))</x:f>
      </x:c>
      <x:c r="I37" s="63" t="str">
        <x:f>IF(D37="","",IFERROR(F37/D37,0))</x:f>
      </x:c>
    </x:row>
    <x:row r="38">
      <x:c r="A38" s="62" t="str">
        <x:v>2026-2027</x:v>
      </x:c>
      <x:c r="B38" s="62" t="str">
        <x:v>JHS</x:v>
      </x:c>
      <x:c r="C38" s="62" t="str">
        <x:v>Grade 9</x:v>
      </x:c>
      <x:c r="D38" s="113"/>
      <x:c r="E38" s="113"/>
      <x:c r="F38" s="113"/>
      <x:c r="G38" s="113"/>
      <x:c r="H38" s="63" t="str">
        <x:f>IF(D38="","",IFERROR(E38/D38,0))</x:f>
      </x:c>
      <x:c r="I38" s="63" t="str">
        <x:f>IF(D38="","",IFERROR(F38/D38,0))</x:f>
      </x:c>
    </x:row>
    <x:row r="39">
      <x:c r="A39" s="62" t="str">
        <x:v>2026-2027</x:v>
      </x:c>
      <x:c r="B39" s="62" t="str">
        <x:v>JHS</x:v>
      </x:c>
      <x:c r="C39" s="62" t="str">
        <x:v>Grade 10</x:v>
      </x:c>
      <x:c r="D39" s="113"/>
      <x:c r="E39" s="113"/>
      <x:c r="F39" s="113"/>
      <x:c r="G39" s="113"/>
      <x:c r="H39" s="63" t="str">
        <x:f>IF(D39="","",IFERROR(E39/D39,0))</x:f>
      </x:c>
      <x:c r="I39" s="63" t="str">
        <x:f>IF(D39="","",IFERROR(F39/D39,0))</x:f>
      </x:c>
    </x:row>
    <x:row r="40">
      <x:c r="A40" s="62" t="str">
        <x:v>2026-2027</x:v>
      </x:c>
      <x:c r="B40" s="62" t="str">
        <x:v>SHS</x:v>
      </x:c>
      <x:c r="C40" s="62" t="str">
        <x:v>Grade 11</x:v>
      </x:c>
      <x:c r="D40" s="113"/>
      <x:c r="E40" s="113"/>
      <x:c r="F40" s="113"/>
      <x:c r="G40" s="113"/>
      <x:c r="H40" s="63" t="str">
        <x:f>IF(D40="","",IFERROR(E40/D40,0))</x:f>
      </x:c>
      <x:c r="I40" s="63" t="str">
        <x:f>IF(D40="","",IFERROR(F40/D40,0))</x:f>
      </x:c>
    </x:row>
    <x:row r="41">
      <x:c r="A41" s="62" t="str">
        <x:v>2026-2027</x:v>
      </x:c>
      <x:c r="B41" s="62" t="str">
        <x:v>SHS</x:v>
      </x:c>
      <x:c r="C41" s="62" t="str">
        <x:v>Grade 12</x:v>
      </x:c>
      <x:c r="D41" s="113"/>
      <x:c r="E41" s="113"/>
      <x:c r="F41" s="113"/>
      <x:c r="G41" s="113"/>
      <x:c r="H41" s="63" t="str">
        <x:f>IF(D41="","",IFERROR(E41/D41,0))</x:f>
      </x:c>
      <x:c r="I41" s="63" t="str">
        <x:f>IF(D41="","",IFERROR(F41/D41,0))</x:f>
      </x:c>
    </x:row>
  </x:sheetData>
  <x:mergeCells>
    <x:mergeCell ref="A1:I2"/>
    <x:mergeCell ref="A3:I3"/>
  </x:mergeCells>
  <x:dataValidations count="2">
    <x:dataValidation type="list" sqref="B6:B41">
      <x:formula1>"JHS,SHS"</x:formula1>
    </x:dataValidation>
    <x:dataValidation type="list" sqref="C6:C41">
      <x:formula1>"Grade 7,Grade 8,Grade 9,Grade 10,Grade 11,Grade 12"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1dbac94e7f2412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34" hidden="0" customWidth="1"/>
  </x:cols>
  <x:sheetData>
    <x:row r="1" ht="34" customHeight="1">
      <x:c r="A1" s="6" t="str">
        <x:v>Classrooms and Room Sizes</x:v>
      </x:c>
      <x:c r="B1" s="6"/>
      <x:c r="C1" s="6"/>
      <x:c r="D1" s="6"/>
      <x:c r="E1" s="6"/>
      <x:c r="F1" s="6"/>
      <x:c r="G1" s="6"/>
    </x:row>
    <x:row r="2" ht="34" customHeight="1">
      <x:c r="A2" s="6"/>
      <x:c r="B2" s="6"/>
      <x:c r="C2" s="6"/>
      <x:c r="D2" s="6"/>
      <x:c r="E2" s="6"/>
      <x:c r="F2" s="6"/>
      <x:c r="G2" s="6"/>
    </x:row>
    <x:row r="3" ht="28" customHeight="1">
      <x:c r="A3" s="16" t="str">
        <x:v>Simple classroom information used for school resource charts and student-classroom ratio.</x:v>
      </x:c>
      <x:c r="B3" s="16"/>
      <x:c r="C3" s="16"/>
      <x:c r="D3" s="16"/>
      <x:c r="E3" s="16"/>
      <x:c r="F3" s="16"/>
      <x:c r="G3" s="16"/>
    </x:row>
    <x:row r="5" ht="30" customHeight="1">
      <x:c r="A5" s="47" t="str">
        <x:v>School Year</x:v>
      </x:c>
      <x:c r="B5" s="47" t="str">
        <x:v>JHS Classrooms</x:v>
      </x:c>
      <x:c r="C5" s="47" t="str">
        <x:v>SHS Classrooms</x:v>
      </x:c>
      <x:c r="D5" s="47" t="str">
        <x:v>Total Classrooms</x:v>
      </x:c>
      <x:c r="E5" s="47" t="str">
        <x:v>Total Enrollment</x:v>
      </x:c>
      <x:c r="F5" s="47" t="str">
        <x:v>Students per Classroom</x:v>
      </x:c>
      <x:c r="G5" s="47" t="str">
        <x:v>Notes</x:v>
      </x:c>
    </x:row>
    <x:row r="6">
      <x:c r="A6" s="52" t="str">
        <x:v>2021-2022</x:v>
      </x:c>
      <x:c r="B6" s="52" t="n">
        <x:v>28</x:v>
      </x:c>
      <x:c r="C6" s="52" t="n">
        <x:v>10</x:v>
      </x:c>
      <x:c r="D6" s="66" t="n">
        <x:f>IF(OR(B6="",C6=""),"",B6+C6)</x:f>
        <x:v>38</x:v>
      </x:c>
      <x:c r="E6" s="66" t="n">
        <x:f>IFERROR(SUMIFS(DATA_ENTRY!$D$6:$D$41,DATA_ENTRY!$A$6:$A$41,A6),"")</x:f>
        <x:v>1380</x:v>
      </x:c>
      <x:c r="F6" s="68" t="n">
        <x:f>IF(OR(D6="",E6=""),"",E6/D6)</x:f>
        <x:v>36.31578947368421</x:v>
      </x:c>
      <x:c r="G6" t="str"/>
    </x:row>
    <x:row r="7">
      <x:c r="A7" s="52" t="str">
        <x:v>2022-2023</x:v>
      </x:c>
      <x:c r="B7" s="52" t="n">
        <x:v>24</x:v>
      </x:c>
      <x:c r="C7" s="52" t="n">
        <x:v>10</x:v>
      </x:c>
      <x:c r="D7" s="66" t="n">
        <x:f>IF(OR(B7="",C7=""),"",B7+C7)</x:f>
        <x:v>34</x:v>
      </x:c>
      <x:c r="E7" s="66" t="n">
        <x:f>IFERROR(SUMIFS(DATA_ENTRY!$D$6:$D$41,DATA_ENTRY!$A$6:$A$41,A7),"")</x:f>
        <x:v>1305</x:v>
      </x:c>
      <x:c r="F7" s="68" t="n">
        <x:f>IF(OR(D7="",E7=""),"",E7/D7)</x:f>
        <x:v>38.38235294117647</x:v>
      </x:c>
      <x:c r="G7" t="str"/>
    </x:row>
    <x:row r="8">
      <x:c r="A8" s="52" t="str">
        <x:v>2023-2024</x:v>
      </x:c>
      <x:c r="B8" s="52" t="n">
        <x:v>24</x:v>
      </x:c>
      <x:c r="C8" s="52" t="n">
        <x:v>10</x:v>
      </x:c>
      <x:c r="D8" s="66" t="n">
        <x:f>IF(OR(B8="",C8=""),"",B8+C8)</x:f>
        <x:v>34</x:v>
      </x:c>
      <x:c r="E8" s="66" t="n">
        <x:f>IFERROR(SUMIFS(DATA_ENTRY!$D$6:$D$41,DATA_ENTRY!$A$6:$A$41,A8),"")</x:f>
        <x:v>1174</x:v>
      </x:c>
      <x:c r="F8" s="68" t="n">
        <x:f>IF(OR(D8="",E8=""),"",E8/D8)</x:f>
        <x:v>34.529411764705884</x:v>
      </x:c>
      <x:c r="G8" t="str"/>
    </x:row>
    <x:row r="9">
      <x:c r="A9" s="52" t="str">
        <x:v>2024-2025</x:v>
      </x:c>
      <x:c r="B9" s="52" t="n">
        <x:v>24</x:v>
      </x:c>
      <x:c r="C9" s="52" t="n">
        <x:v>10</x:v>
      </x:c>
      <x:c r="D9" s="66" t="n">
        <x:f>IF(OR(B9="",C9=""),"",B9+C9)</x:f>
        <x:v>34</x:v>
      </x:c>
      <x:c r="E9" s="66" t="n">
        <x:f>IFERROR(SUMIFS(DATA_ENTRY!$D$6:$D$41,DATA_ENTRY!$A$6:$A$41,A9),"")</x:f>
        <x:v>1089</x:v>
      </x:c>
      <x:c r="F9" s="68" t="n">
        <x:f>IF(OR(D9="",E9=""),"",E9/D9)</x:f>
        <x:v>32.029411764705884</x:v>
      </x:c>
      <x:c r="G9" t="str"/>
    </x:row>
    <x:row r="10">
      <x:c r="A10" s="52" t="str">
        <x:v>2025-2026</x:v>
      </x:c>
      <x:c r="B10" s="52" t="n">
        <x:v>24</x:v>
      </x:c>
      <x:c r="C10" s="52" t="n">
        <x:v>10</x:v>
      </x:c>
      <x:c r="D10" s="66" t="n">
        <x:f>IF(OR(B10="",C10=""),"",B10+C10)</x:f>
        <x:v>34</x:v>
      </x:c>
      <x:c r="E10" s="66" t="n">
        <x:f>IFERROR(SUMIFS(DATA_ENTRY!$D$6:$D$41,DATA_ENTRY!$A$6:$A$41,A10),"")</x:f>
        <x:v>1002</x:v>
      </x:c>
      <x:c r="F10" s="68" t="n">
        <x:f>IF(OR(D10="",E10=""),"",E10/D10)</x:f>
        <x:v>29.470588235294116</x:v>
      </x:c>
      <x:c r="G10" t="str"/>
    </x:row>
    <x:row r="11">
      <x:c r="A11" s="70" t="str">
        <x:v>2026-2027</x:v>
      </x:c>
      <x:c r="B11" s="70"/>
      <x:c r="C11" s="70"/>
      <x:c r="D11" s="66" t="str">
        <x:f>IF(OR(B11="",C11=""),"",B11+C11)</x:f>
      </x:c>
      <x:c r="E11" s="66" t="n">
        <x:f>IFERROR(SUMIFS(DATA_ENTRY!$D$6:$D$41,DATA_ENTRY!$A$6:$A$41,A11),"")</x:f>
        <x:v>0</x:v>
      </x:c>
      <x:c r="F11" s="68" t="str">
        <x:f>IF(OR(D11="",E11=""),"",E11/D11)</x:f>
      </x:c>
      <x:c r="G11" t="str">
        <x:v>Enter new room totals here.</x:v>
      </x:c>
    </x:row>
    <x:row r="14" ht="30" customHeight="1">
      <x:c r="A14" s="47" t="str">
        <x:v>Grade Level</x:v>
      </x:c>
      <x:c r="B14" s="47" t="str">
        <x:v>Room Length (m)</x:v>
      </x:c>
      <x:c r="C14" s="47" t="str">
        <x:v>Room Width (m)</x:v>
      </x:c>
      <x:c r="D14" s="47" t="str">
        <x:v>Room Area (sqm)</x:v>
      </x:c>
    </x:row>
    <x:row r="15">
      <x:c r="A15" s="29" t="str">
        <x:v>Grade 7</x:v>
      </x:c>
      <x:c r="B15" s="29" t="n">
        <x:v>7</x:v>
      </x:c>
      <x:c r="C15" s="29" t="n">
        <x:v>9</x:v>
      </x:c>
      <x:c r="D15" s="29" t="n">
        <x:f>B15*C15</x:f>
        <x:v>63</x:v>
      </x:c>
    </x:row>
    <x:row r="16">
      <x:c r="A16" s="29" t="str">
        <x:v>Grade 8</x:v>
      </x:c>
      <x:c r="B16" s="29" t="n">
        <x:v>7</x:v>
      </x:c>
      <x:c r="C16" s="29" t="n">
        <x:v>9</x:v>
      </x:c>
      <x:c r="D16" s="29" t="n">
        <x:f>B16*C16</x:f>
        <x:v>63</x:v>
      </x:c>
    </x:row>
    <x:row r="17">
      <x:c r="A17" s="29" t="str">
        <x:v>Grade 9</x:v>
      </x:c>
      <x:c r="B17" s="29" t="n">
        <x:v>9</x:v>
      </x:c>
      <x:c r="C17" s="29" t="n">
        <x:v>9</x:v>
      </x:c>
      <x:c r="D17" s="29" t="n">
        <x:f>B17*C17</x:f>
        <x:v>81</x:v>
      </x:c>
    </x:row>
    <x:row r="18">
      <x:c r="A18" s="29" t="str">
        <x:v>Grade 10</x:v>
      </x:c>
      <x:c r="B18" s="29" t="n">
        <x:v>9</x:v>
      </x:c>
      <x:c r="C18" s="29" t="n">
        <x:v>9</x:v>
      </x:c>
      <x:c r="D18" s="29" t="n">
        <x:f>B18*C18</x:f>
        <x:v>81</x:v>
      </x:c>
    </x:row>
    <x:row r="19">
      <x:c r="A19" s="29" t="str">
        <x:v>Grade 11</x:v>
      </x:c>
      <x:c r="B19" s="29" t="n">
        <x:v>9</x:v>
      </x:c>
      <x:c r="C19" s="29" t="n">
        <x:v>9</x:v>
      </x:c>
      <x:c r="D19" s="29" t="n">
        <x:f>B19*C19</x:f>
        <x:v>81</x:v>
      </x:c>
    </x:row>
    <x:row r="20">
      <x:c r="A20" s="29" t="str">
        <x:v>Grade 12</x:v>
      </x:c>
      <x:c r="B20" s="29" t="n">
        <x:v>9</x:v>
      </x:c>
      <x:c r="C20" s="29" t="n">
        <x:v>9</x:v>
      </x:c>
      <x:c r="D20" s="29" t="n">
        <x:f>B20*C20</x:f>
        <x:v>81</x:v>
      </x:c>
    </x:row>
  </x:sheetData>
  <x:mergeCells>
    <x:mergeCell ref="A1:G2"/>
    <x:mergeCell ref="A3:G3"/>
  </x:mergeCells>
  <x:pageMargins left="0.7" right="0.7" top="0.75" bottom="0.75" header="0.3" footer="0.3"/>
  <x:tableParts count="2">
    <x:tablePart xmlns:r="http://schemas.openxmlformats.org/officeDocument/2006/relationships" r:id="Ra9ccd7408f6c4c83"/>
    <x:tablePart xmlns:r="http://schemas.openxmlformats.org/officeDocument/2006/relationships" r:id="R882c8bab1c784f4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8" hidden="0" customWidth="1"/>
    <x:col min="4" max="4" width="20" hidden="0" customWidth="1"/>
    <x:col min="5" max="5" width="20" hidden="0" customWidth="1"/>
    <x:col min="6" max="6" width="24" hidden="0" customWidth="1"/>
    <x:col min="8" max="8" width="22" hidden="0" customWidth="1"/>
    <x:col min="9" max="9" width="24" hidden="0" customWidth="1"/>
    <x:col min="10" max="10" width="24" hidden="0" customWidth="1"/>
    <x:col min="11" max="11" width="18" hidden="0" customWidth="1"/>
    <x:col min="12" max="12" width="45" hidden="0" customWidth="1"/>
  </x:cols>
  <x:sheetData>
    <x:row r="1" ht="34" customHeight="1">
      <x:c r="A1" s="6" t="str">
        <x:v>Cohort and Transition Trends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2" ht="34" customHeight="1">
      <x:c r="A2" s="6"/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3" ht="28" customHeight="1">
      <x:c r="A3" s="16" t="str">
        <x:v>Formula-based continuity indicators used by the dashboard charts.</x:v>
      </x:c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</x:row>
    <x:row r="5" ht="30" customHeight="1">
      <x:c r="A5" s="47" t="str">
        <x:v>Graduating School Year</x:v>
      </x:c>
      <x:c r="B5" s="47" t="str">
        <x:v>Grade 7 Baseline Year</x:v>
      </x:c>
      <x:c r="C5" s="47" t="str">
        <x:v>Grade 7 Baseline</x:v>
      </x:c>
      <x:c r="D5" s="47" t="str">
        <x:v>Grade 12 Enrollment</x:v>
      </x:c>
      <x:c r="E5" s="47" t="str">
        <x:v>Cohort Survival Rate</x:v>
      </x:c>
      <x:c r="F5" s="47" t="str">
        <x:v>Notes</x:v>
      </x:c>
      <x:c r="H5" s="47" t="str">
        <x:v>Current School Year</x:v>
      </x:c>
      <x:c r="I5" s="47" t="str">
        <x:v>Previous Grade 10 Enrollment</x:v>
      </x:c>
      <x:c r="J5" s="47" t="str">
        <x:v>Current Grade 11 Enrollment</x:v>
      </x:c>
      <x:c r="K5" s="47" t="str">
        <x:v>Transition Rate</x:v>
      </x:c>
      <x:c r="L5" s="47" t="str">
        <x:v>Plain Meaning</x:v>
      </x:c>
    </x:row>
    <x:row r="6">
      <x:c r="A6" s="29" t="str">
        <x:v>2021-2022</x:v>
      </x:c>
      <x:c r="B6" s="29" t="str">
        <x:v>2016-2017</x:v>
      </x:c>
      <x:c r="C6" s="29" t="n">
        <x:v>264</x:v>
      </x:c>
      <x:c r="D6" s="29" t="n">
        <x:v>189</x:v>
      </x:c>
      <x:c r="E6" s="72" t="n">
        <x:f>IFERROR(D6/C6,"")</x:f>
        <x:v>0.7159090909090909</x:v>
      </x:c>
      <x:c r="F6" s="29" t="str"/>
      <x:c r="H6" s="29" t="str">
        <x:v>2022-2023</x:v>
      </x:c>
      <x:c r="I6" s="29" t="n">
        <x:v>224</x:v>
      </x:c>
      <x:c r="J6" s="29" t="n">
        <x:v>182</x:v>
      </x:c>
      <x:c r="K6" s="72" t="n">
        <x:f>IFERROR(J6/I6,"")</x:f>
        <x:v>0.8125</x:v>
      </x:c>
      <x:c r="L6" s="29" t="str">
        <x:v>Grade 11 count compared with previous year's Grade 10.</x:v>
      </x:c>
    </x:row>
    <x:row r="7">
      <x:c r="A7" s="29" t="str">
        <x:v>2022-2023</x:v>
      </x:c>
      <x:c r="B7" s="29" t="str">
        <x:v>2017-2018</x:v>
      </x:c>
      <x:c r="C7" s="29" t="n">
        <x:v>240</x:v>
      </x:c>
      <x:c r="D7" s="29" t="n">
        <x:v>169</x:v>
      </x:c>
      <x:c r="E7" s="72" t="n">
        <x:f>IFERROR(D7/C7,"")</x:f>
        <x:v>0.7041666666666667</x:v>
      </x:c>
      <x:c r="F7" s="29" t="str"/>
      <x:c r="H7" s="29" t="str">
        <x:v>2023-2024</x:v>
      </x:c>
      <x:c r="I7" s="29" t="n">
        <x:v>224</x:v>
      </x:c>
      <x:c r="J7" s="29" t="n">
        <x:v>153</x:v>
      </x:c>
      <x:c r="K7" s="72" t="n">
        <x:f>IFERROR(J7/I7,"")</x:f>
        <x:v>0.6830357142857143</x:v>
      </x:c>
      <x:c r="L7" s="29" t="str">
        <x:v>Grade 11 count compared with previous year's Grade 10.</x:v>
      </x:c>
    </x:row>
    <x:row r="8">
      <x:c r="A8" s="29" t="str">
        <x:v>2023-2024</x:v>
      </x:c>
      <x:c r="B8" s="29" t="str">
        <x:v>2018-2019</x:v>
      </x:c>
      <x:c r="C8" s="29" t="n">
        <x:v>228</x:v>
      </x:c>
      <x:c r="D8" s="29" t="n">
        <x:v>168</x:v>
      </x:c>
      <x:c r="E8" s="72" t="n">
        <x:f>IFERROR(D8/C8,"")</x:f>
        <x:v>0.7368421052631579</x:v>
      </x:c>
      <x:c r="F8" s="29" t="str"/>
      <x:c r="H8" s="29" t="str">
        <x:v>2024-2025</x:v>
      </x:c>
      <x:c r="I8" s="29" t="n">
        <x:v>239</x:v>
      </x:c>
      <x:c r="J8" s="29" t="n">
        <x:v>158</x:v>
      </x:c>
      <x:c r="K8" s="72" t="n">
        <x:f>IFERROR(J8/I8,"")</x:f>
        <x:v>0.6610878661087866</x:v>
      </x:c>
      <x:c r="L8" s="29" t="str">
        <x:v>Grade 11 count compared with previous year's Grade 10.</x:v>
      </x:c>
    </x:row>
    <x:row r="9">
      <x:c r="A9" s="29" t="str">
        <x:v>2024-2025</x:v>
      </x:c>
      <x:c r="B9" s="29" t="str">
        <x:v>2019-2020</x:v>
      </x:c>
      <x:c r="C9" s="29" t="n">
        <x:v>244</x:v>
      </x:c>
      <x:c r="D9" s="29" t="n">
        <x:v>148</x:v>
      </x:c>
      <x:c r="E9" s="72" t="n">
        <x:f>IFERROR(D9/C9,"")</x:f>
        <x:v>0.6065573770491803</x:v>
      </x:c>
      <x:c r="F9" s="29" t="str"/>
      <x:c r="H9" s="29" t="str">
        <x:v>2025-2026</x:v>
      </x:c>
      <x:c r="I9" s="29" t="n">
        <x:v>235</x:v>
      </x:c>
      <x:c r="J9" s="29" t="n">
        <x:v>132</x:v>
      </x:c>
      <x:c r="K9" s="72" t="n">
        <x:f>IFERROR(J9/I9,"")</x:f>
        <x:v>0.5617021276595745</x:v>
      </x:c>
      <x:c r="L9" s="29" t="str">
        <x:v>Grade 11 count compared with previous year's Grade 10.</x:v>
      </x:c>
    </x:row>
    <x:row r="10">
      <x:c r="A10" s="29" t="str">
        <x:v>2025-2026</x:v>
      </x:c>
      <x:c r="B10" s="29" t="str">
        <x:v>2020-2021</x:v>
      </x:c>
      <x:c r="C10" s="29" t="n">
        <x:v>274</x:v>
      </x:c>
      <x:c r="D10" s="29" t="n">
        <x:v>156</x:v>
      </x:c>
      <x:c r="E10" s="72" t="n">
        <x:f>IFERROR(D10/C10,"")</x:f>
        <x:v>0.5693430656934306</x:v>
      </x:c>
      <x:c r="F10" s="29" t="str"/>
    </x:row>
  </x:sheetData>
  <x:mergeCells>
    <x:mergeCell ref="A1:L2"/>
    <x:mergeCell ref="A3:L3"/>
  </x:mergeCells>
  <x:pageMargins left="0.7" right="0.7" top="0.75" bottom="0.75" header="0.3" footer="0.3"/>
  <x:tableParts count="2">
    <x:tablePart xmlns:r="http://schemas.openxmlformats.org/officeDocument/2006/relationships" r:id="Rbf5ff28d08c64c53"/>
    <x:tablePart xmlns:r="http://schemas.openxmlformats.org/officeDocument/2006/relationships" r:id="Rdea8f47246d7481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8" hidden="0" customWidth="1"/>
    <x:col min="3" max="3" width="12" hidden="0" customWidth="1"/>
    <x:col min="4" max="4" width="12" hidden="0" customWidth="1"/>
    <x:col min="5" max="5" width="20" hidden="0" customWidth="1"/>
    <x:col min="6" max="6" width="12" hidden="0" customWidth="1"/>
    <x:col min="7" max="7" width="16" hidden="0" customWidth="1"/>
    <x:col min="8" max="8" width="13" hidden="0" customWidth="1"/>
    <x:col min="9" max="9" width="17" hidden="0" customWidth="1"/>
    <x:col min="10" max="10" width="12" hidden="0" customWidth="1"/>
    <x:col min="11" max="11" width="20" hidden="0" customWidth="1"/>
    <x:col min="12" max="12" width="14" hidden="0" customWidth="1"/>
    <x:col min="13" max="13" width="22" hidden="0" customWidth="1"/>
    <x:col min="14" max="14" width="19" hidden="0" customWidth="1"/>
    <x:col min="15" max="15" width="18" hidden="0" customWidth="1"/>
  </x:cols>
  <x:sheetData>
    <x:row r="1" ht="34" customHeight="1">
      <x:c r="A1" s="6" t="str">
        <x:v>Dashboard Summary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</x:row>
    <x:row r="2" ht="34" customHeight="1">
      <x:c r="A2" s="6"/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</x:row>
    <x:row r="3" ht="28" customHeight="1">
      <x:c r="A3" s="16" t="str">
        <x:v>This sheet is chart-ready and formula-driven. It updates from DATA_ENTRY and RESOURCES.</x:v>
      </x:c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  <x:c r="N3" s="16"/>
      <x:c r="O3" s="16"/>
    </x:row>
    <x:row r="4">
      <x:c r="A4" s="40"/>
      <x:c r="B4" s="40"/>
      <x:c r="C4" s="40"/>
      <x:c r="D4" s="40"/>
      <x:c r="E4" s="40"/>
      <x:c r="F4" s="40"/>
      <x:c r="G4" s="40"/>
      <x:c r="H4" s="40"/>
      <x:c r="I4" s="40"/>
      <x:c r="J4" s="40"/>
      <x:c r="K4" s="40"/>
      <x:c r="L4" s="40"/>
      <x:c r="M4" s="40"/>
      <x:c r="N4" s="40"/>
      <x:c r="O4" s="40"/>
    </x:row>
    <x:row r="5">
      <x:c r="A5" s="92" t="str">
        <x:v>LATEST ENROLLMENT</x:v>
      </x:c>
      <x:c r="B5" s="92" t="str"/>
      <x:c r="C5" s="92" t="str">
        <x:v>DROPOUT RATE</x:v>
      </x:c>
      <x:c r="D5" s="92" t="str"/>
      <x:c r="E5" s="92" t="str">
        <x:v>REPEATER RATE</x:v>
      </x:c>
      <x:c r="F5" s="92" t="str"/>
      <x:c r="G5" s="92" t="str">
        <x:v>COHORT SURVIVAL</x:v>
      </x:c>
      <x:c r="H5" s="92" t="str"/>
      <x:c r="I5" s="92" t="str">
        <x:v>STUDENT-TEACHER RATIO</x:v>
      </x:c>
      <x:c r="J5" s="92" t="str"/>
      <x:c r="K5" s="40"/>
      <x:c r="L5" s="40"/>
      <x:c r="M5" s="40"/>
      <x:c r="N5" s="40"/>
      <x:c r="O5" s="40"/>
    </x:row>
    <x:row r="6">
      <x:c r="A6" s="93" t="n">
        <x:f>B14</x:f>
        <x:v>1002</x:v>
      </x:c>
      <x:c r="B6" s="93"/>
      <x:c r="C6" s="94" t="n">
        <x:f>G14</x:f>
        <x:v>0.005988023952095809</x:v>
      </x:c>
      <x:c r="D6" s="93"/>
      <x:c r="E6" s="94" t="n">
        <x:f>I14</x:f>
        <x:v>0.020958083832335328</x:v>
      </x:c>
      <x:c r="F6" s="93"/>
      <x:c r="G6" s="94" t="n">
        <x:f>N14</x:f>
        <x:v>0.5693430656934306</x:v>
      </x:c>
      <x:c r="H6" s="93"/>
      <x:c r="I6" s="95" t="n">
        <x:f>K14</x:f>
        <x:v>20.04</x:v>
      </x:c>
      <x:c r="J6" s="93"/>
      <x:c r="K6" s="40"/>
      <x:c r="L6" s="40"/>
      <x:c r="M6" s="40"/>
      <x:c r="N6" s="40"/>
      <x:c r="O6" s="40"/>
    </x:row>
    <x:row r="7">
      <x:c r="A7" s="93"/>
      <x:c r="B7" s="93"/>
      <x:c r="C7" s="93"/>
      <x:c r="D7" s="93"/>
      <x:c r="E7" s="93"/>
      <x:c r="F7" s="93"/>
      <x:c r="G7" s="93"/>
      <x:c r="H7" s="93"/>
      <x:c r="I7" s="93"/>
      <x:c r="J7" s="93"/>
      <x:c r="K7" s="40"/>
      <x:c r="L7" s="40"/>
      <x:c r="M7" s="40"/>
      <x:c r="N7" s="40"/>
      <x:c r="O7" s="40"/>
    </x:row>
    <x:row r="8">
      <x:c r="A8" s="40"/>
      <x:c r="B8" s="40"/>
      <x:c r="C8" s="40"/>
      <x:c r="D8" s="40"/>
      <x:c r="E8" s="40"/>
      <x:c r="F8" s="40"/>
      <x:c r="G8" s="40"/>
      <x:c r="H8" s="40"/>
      <x:c r="I8" s="40"/>
      <x:c r="J8" s="40"/>
      <x:c r="K8" s="40"/>
      <x:c r="L8" s="40"/>
      <x:c r="M8" s="40"/>
      <x:c r="N8" s="40"/>
      <x:c r="O8" s="40"/>
    </x:row>
    <x:row r="9" ht="30" customHeight="1">
      <x:c r="A9" s="47" t="str">
        <x:v>School Year</x:v>
      </x:c>
      <x:c r="B9" s="47" t="str">
        <x:v>Total Enrollment</x:v>
      </x:c>
      <x:c r="C9" s="47" t="str">
        <x:v>JHS</x:v>
      </x:c>
      <x:c r="D9" s="47" t="str">
        <x:v>SHS</x:v>
      </x:c>
      <x:c r="E9" s="47" t="str">
        <x:v>Enrollment Change %</x:v>
      </x:c>
      <x:c r="F9" s="47" t="str">
        <x:v>Dropouts</x:v>
      </x:c>
      <x:c r="G9" s="47" t="str">
        <x:v>Dropout Rate</x:v>
      </x:c>
      <x:c r="H9" s="47" t="str">
        <x:v>Repeaters</x:v>
      </x:c>
      <x:c r="I9" s="47" t="str">
        <x:v>Repeater Rate</x:v>
      </x:c>
      <x:c r="J9" s="47" t="str">
        <x:v>Teachers</x:v>
      </x:c>
      <x:c r="K9" s="47" t="str">
        <x:v>Students per Teacher</x:v>
      </x:c>
      <x:c r="L9" s="47" t="str">
        <x:v>Classrooms</x:v>
      </x:c>
      <x:c r="M9" s="47" t="str">
        <x:v>Students per Classroom</x:v>
      </x:c>
      <x:c r="N9" s="47" t="str">
        <x:v>Cohort Survival</x:v>
      </x:c>
      <x:c r="O9" s="47" t="str">
        <x:v>Transition Rate</x:v>
      </x:c>
    </x:row>
    <x:row r="10">
      <x:c r="A10" s="96" t="str">
        <x:v>2021-2022</x:v>
      </x:c>
      <x:c r="B10" s="116" t="n">
        <x:f>IF(COUNTIFS(DATA_ENTRY!$A$6:$A$41,A10,DATA_ENTRY!$D$6:$D$41,"&gt;0")=0,"",SUMIFS(DATA_ENTRY!$D$6:$D$41,DATA_ENTRY!$A$6:$A$41,A10))</x:f>
        <x:v>1380</x:v>
      </x:c>
      <x:c r="C10" s="116" t="n">
        <x:f>IF(B10="","",SUMIFS(DATA_ENTRY!$D$6:$D$41,DATA_ENTRY!$A$6:$A$41,A10,DATA_ENTRY!$B$6:$B$41,"JHS"))</x:f>
        <x:v>993</x:v>
      </x:c>
      <x:c r="D10" s="116" t="n">
        <x:f>IF(B10="","",SUMIFS(DATA_ENTRY!$D$6:$D$41,DATA_ENTRY!$A$6:$A$41,A10,DATA_ENTRY!$B$6:$B$41,"SHS"))</x:f>
        <x:v>387</x:v>
      </x:c>
      <x:c r="E10" s="97" t="str">
        <x:f>""</x:f>
      </x:c>
      <x:c r="F10" s="116" t="n">
        <x:f>IF(B10="","",SUMIFS(DATA_ENTRY!$E$6:$E$41,DATA_ENTRY!$A$6:$A$41,A10))</x:f>
        <x:v>12</x:v>
      </x:c>
      <x:c r="G10" s="97" t="n">
        <x:f>IF(B10="","",IFERROR(F10/B10,0))</x:f>
        <x:v>0.008695652173913044</x:v>
      </x:c>
      <x:c r="H10" s="116" t="n">
        <x:f>IF(B10="","",SUMIFS(DATA_ENTRY!$F$6:$F$41,DATA_ENTRY!$A$6:$A$41,A10))</x:f>
        <x:v>20</x:v>
      </x:c>
      <x:c r="I10" s="97" t="n">
        <x:f>IF(B10="","",IFERROR(H10/B10,0))</x:f>
        <x:v>0.014492753623188406</x:v>
      </x:c>
      <x:c r="J10" s="116" t="n">
        <x:f>IF(B10="","",SUMIFS(DATA_ENTRY!$G$6:$G$41,DATA_ENTRY!$A$6:$A$41,A10))</x:f>
        <x:v>52</x:v>
      </x:c>
      <x:c r="K10" s="120" t="n">
        <x:f>IF(B10="","",IFERROR(B10/J10,0))</x:f>
        <x:v>26.53846153846154</x:v>
      </x:c>
      <x:c r="L10" s="116" t="n">
        <x:f>IFERROR(SUMIFS(RESOURCES!$D$6:$D$11,RESOURCES!$A$6:$A$11,A10),"")</x:f>
        <x:v>38</x:v>
      </x:c>
      <x:c r="M10" s="120" t="n">
        <x:f>IF(OR(B10="",L10=""),"",IFERROR(B10/L10,0))</x:f>
        <x:v>36.31578947368421</x:v>
      </x:c>
      <x:c r="N10" s="97" t="n">
        <x:f>IF(COUNTIFS(COHORT_TRANSITION!$A$6:$A$10,A10)=0,"",SUMIFS(COHORT_TRANSITION!$E$6:$E$10,COHORT_TRANSITION!$A$6:$A$10,A10))</x:f>
        <x:v>0.7159090909090909</x:v>
      </x:c>
      <x:c r="O10" s="97" t="str">
        <x:f>IF(COUNTIFS(COHORT_TRANSITION!$H$6:$H$9,A10)=0,"",SUMIFS(COHORT_TRANSITION!$K$6:$K$9,COHORT_TRANSITION!$H$6:$H$9,A10))</x:f>
      </x:c>
    </x:row>
    <x:row r="11">
      <x:c r="A11" s="96" t="str">
        <x:v>2022-2023</x:v>
      </x:c>
      <x:c r="B11" s="116" t="n">
        <x:f>IF(COUNTIFS(DATA_ENTRY!$A$6:$A$41,A11,DATA_ENTRY!$D$6:$D$41,"&gt;0")=0,"",SUMIFS(DATA_ENTRY!$D$6:$D$41,DATA_ENTRY!$A$6:$A$41,A11))</x:f>
        <x:v>1305</x:v>
      </x:c>
      <x:c r="C11" s="116" t="n">
        <x:f>IF(B11="","",SUMIFS(DATA_ENTRY!$D$6:$D$41,DATA_ENTRY!$A$6:$A$41,A11,DATA_ENTRY!$B$6:$B$41,"JHS"))</x:f>
        <x:v>954</x:v>
      </x:c>
      <x:c r="D11" s="116" t="n">
        <x:f>IF(B11="","",SUMIFS(DATA_ENTRY!$D$6:$D$41,DATA_ENTRY!$A$6:$A$41,A11,DATA_ENTRY!$B$6:$B$41,"SHS"))</x:f>
        <x:v>351</x:v>
      </x:c>
      <x:c r="E11" s="97" t="n">
        <x:f>IF(OR(B11="",B10=""),"",B11/B10-1)</x:f>
        <x:v>-0.05434782608695654</x:v>
      </x:c>
      <x:c r="F11" s="116" t="n">
        <x:f>IF(B11="","",SUMIFS(DATA_ENTRY!$E$6:$E$41,DATA_ENTRY!$A$6:$A$41,A11))</x:f>
        <x:v>2</x:v>
      </x:c>
      <x:c r="G11" s="97" t="n">
        <x:f>IF(B11="","",IFERROR(F11/B11,0))</x:f>
        <x:v>0.0015325670498084292</x:v>
      </x:c>
      <x:c r="H11" s="116" t="n">
        <x:f>IF(B11="","",SUMIFS(DATA_ENTRY!$F$6:$F$41,DATA_ENTRY!$A$6:$A$41,A11))</x:f>
        <x:v>25</x:v>
      </x:c>
      <x:c r="I11" s="97" t="n">
        <x:f>IF(B11="","",IFERROR(H11/B11,0))</x:f>
        <x:v>0.019157088122605363</x:v>
      </x:c>
      <x:c r="J11" s="116" t="n">
        <x:f>IF(B11="","",SUMIFS(DATA_ENTRY!$G$6:$G$41,DATA_ENTRY!$A$6:$A$41,A11))</x:f>
        <x:v>53</x:v>
      </x:c>
      <x:c r="K11" s="120" t="n">
        <x:f>IF(B11="","",IFERROR(B11/J11,0))</x:f>
        <x:v>24.62264150943396</x:v>
      </x:c>
      <x:c r="L11" s="116" t="n">
        <x:f>IFERROR(SUMIFS(RESOURCES!$D$6:$D$11,RESOURCES!$A$6:$A$11,A11),"")</x:f>
        <x:v>34</x:v>
      </x:c>
      <x:c r="M11" s="120" t="n">
        <x:f>IF(OR(B11="",L11=""),"",IFERROR(B11/L11,0))</x:f>
        <x:v>38.38235294117647</x:v>
      </x:c>
      <x:c r="N11" s="97" t="n">
        <x:f>IF(COUNTIFS(COHORT_TRANSITION!$A$6:$A$10,A11)=0,"",SUMIFS(COHORT_TRANSITION!$E$6:$E$10,COHORT_TRANSITION!$A$6:$A$10,A11))</x:f>
        <x:v>0.7041666666666667</x:v>
      </x:c>
      <x:c r="O11" s="97" t="n">
        <x:f>IF(COUNTIFS(COHORT_TRANSITION!$H$6:$H$9,A11)=0,"",SUMIFS(COHORT_TRANSITION!$K$6:$K$9,COHORT_TRANSITION!$H$6:$H$9,A11))</x:f>
        <x:v>0.8125</x:v>
      </x:c>
    </x:row>
    <x:row r="12">
      <x:c r="A12" s="96" t="str">
        <x:v>2023-2024</x:v>
      </x:c>
      <x:c r="B12" s="116" t="n">
        <x:f>IF(COUNTIFS(DATA_ENTRY!$A$6:$A$41,A12,DATA_ENTRY!$D$6:$D$41,"&gt;0")=0,"",SUMIFS(DATA_ENTRY!$D$6:$D$41,DATA_ENTRY!$A$6:$A$41,A12))</x:f>
        <x:v>1174</x:v>
      </x:c>
      <x:c r="C12" s="116" t="n">
        <x:f>IF(B12="","",SUMIFS(DATA_ENTRY!$D$6:$D$41,DATA_ENTRY!$A$6:$A$41,A12,DATA_ENTRY!$B$6:$B$41,"JHS"))</x:f>
        <x:v>853</x:v>
      </x:c>
      <x:c r="D12" s="116" t="n">
        <x:f>IF(B12="","",SUMIFS(DATA_ENTRY!$D$6:$D$41,DATA_ENTRY!$A$6:$A$41,A12,DATA_ENTRY!$B$6:$B$41,"SHS"))</x:f>
        <x:v>321</x:v>
      </x:c>
      <x:c r="E12" s="97" t="n">
        <x:f>IF(OR(B12="",B11=""),"",B12/B11-1)</x:f>
        <x:v>-0.10038314176245211</x:v>
      </x:c>
      <x:c r="F12" s="116" t="n">
        <x:f>IF(B12="","",SUMIFS(DATA_ENTRY!$E$6:$E$41,DATA_ENTRY!$A$6:$A$41,A12))</x:f>
        <x:v>3</x:v>
      </x:c>
      <x:c r="G12" s="97" t="n">
        <x:f>IF(B12="","",IFERROR(F12/B12,0))</x:f>
        <x:v>0.002555366269165247</x:v>
      </x:c>
      <x:c r="H12" s="116" t="n">
        <x:f>IF(B12="","",SUMIFS(DATA_ENTRY!$F$6:$F$41,DATA_ENTRY!$A$6:$A$41,A12))</x:f>
        <x:v>41</x:v>
      </x:c>
      <x:c r="I12" s="97" t="n">
        <x:f>IF(B12="","",IFERROR(H12/B12,0))</x:f>
        <x:v>0.03492333901192504</x:v>
      </x:c>
      <x:c r="J12" s="116" t="n">
        <x:f>IF(B12="","",SUMIFS(DATA_ENTRY!$G$6:$G$41,DATA_ENTRY!$A$6:$A$41,A12))</x:f>
        <x:v>50</x:v>
      </x:c>
      <x:c r="K12" s="120" t="n">
        <x:f>IF(B12="","",IFERROR(B12/J12,0))</x:f>
        <x:v>23.48</x:v>
      </x:c>
      <x:c r="L12" s="116" t="n">
        <x:f>IFERROR(SUMIFS(RESOURCES!$D$6:$D$11,RESOURCES!$A$6:$A$11,A12),"")</x:f>
        <x:v>34</x:v>
      </x:c>
      <x:c r="M12" s="120" t="n">
        <x:f>IF(OR(B12="",L12=""),"",IFERROR(B12/L12,0))</x:f>
        <x:v>34.529411764705884</x:v>
      </x:c>
      <x:c r="N12" s="97" t="n">
        <x:f>IF(COUNTIFS(COHORT_TRANSITION!$A$6:$A$10,A12)=0,"",SUMIFS(COHORT_TRANSITION!$E$6:$E$10,COHORT_TRANSITION!$A$6:$A$10,A12))</x:f>
        <x:v>0.7368421052631579</x:v>
      </x:c>
      <x:c r="O12" s="97" t="n">
        <x:f>IF(COUNTIFS(COHORT_TRANSITION!$H$6:$H$9,A12)=0,"",SUMIFS(COHORT_TRANSITION!$K$6:$K$9,COHORT_TRANSITION!$H$6:$H$9,A12))</x:f>
        <x:v>0.6830357142857143</x:v>
      </x:c>
    </x:row>
    <x:row r="13">
      <x:c r="A13" s="96" t="str">
        <x:v>2024-2025</x:v>
      </x:c>
      <x:c r="B13" s="116" t="n">
        <x:f>IF(COUNTIFS(DATA_ENTRY!$A$6:$A$41,A13,DATA_ENTRY!$D$6:$D$41,"&gt;0")=0,"",SUMIFS(DATA_ENTRY!$D$6:$D$41,DATA_ENTRY!$A$6:$A$41,A13))</x:f>
        <x:v>1089</x:v>
      </x:c>
      <x:c r="C13" s="116" t="n">
        <x:f>IF(B13="","",SUMIFS(DATA_ENTRY!$D$6:$D$41,DATA_ENTRY!$A$6:$A$41,A13,DATA_ENTRY!$B$6:$B$41,"JHS"))</x:f>
        <x:v>783</x:v>
      </x:c>
      <x:c r="D13" s="116" t="n">
        <x:f>IF(B13="","",SUMIFS(DATA_ENTRY!$D$6:$D$41,DATA_ENTRY!$A$6:$A$41,A13,DATA_ENTRY!$B$6:$B$41,"SHS"))</x:f>
        <x:v>306</x:v>
      </x:c>
      <x:c r="E13" s="97" t="n">
        <x:f>IF(OR(B13="",B12=""),"",B13/B12-1)</x:f>
        <x:v>-0.07240204429301533</x:v>
      </x:c>
      <x:c r="F13" s="116" t="n">
        <x:f>IF(B13="","",SUMIFS(DATA_ENTRY!$E$6:$E$41,DATA_ENTRY!$A$6:$A$41,A13))</x:f>
        <x:v>10</x:v>
      </x:c>
      <x:c r="G13" s="97" t="n">
        <x:f>IF(B13="","",IFERROR(F13/B13,0))</x:f>
        <x:v>0.009182736455463728</x:v>
      </x:c>
      <x:c r="H13" s="116" t="n">
        <x:f>IF(B13="","",SUMIFS(DATA_ENTRY!$F$6:$F$41,DATA_ENTRY!$A$6:$A$41,A13))</x:f>
        <x:v>19</x:v>
      </x:c>
      <x:c r="I13" s="97" t="n">
        <x:f>IF(B13="","",IFERROR(H13/B13,0))</x:f>
        <x:v>0.017447199265381085</x:v>
      </x:c>
      <x:c r="J13" s="116" t="n">
        <x:f>IF(B13="","",SUMIFS(DATA_ENTRY!$G$6:$G$41,DATA_ENTRY!$A$6:$A$41,A13))</x:f>
        <x:v>50</x:v>
      </x:c>
      <x:c r="K13" s="120" t="n">
        <x:f>IF(B13="","",IFERROR(B13/J13,0))</x:f>
        <x:v>21.78</x:v>
      </x:c>
      <x:c r="L13" s="116" t="n">
        <x:f>IFERROR(SUMIFS(RESOURCES!$D$6:$D$11,RESOURCES!$A$6:$A$11,A13),"")</x:f>
        <x:v>34</x:v>
      </x:c>
      <x:c r="M13" s="120" t="n">
        <x:f>IF(OR(B13="",L13=""),"",IFERROR(B13/L13,0))</x:f>
        <x:v>32.029411764705884</x:v>
      </x:c>
      <x:c r="N13" s="97" t="n">
        <x:f>IF(COUNTIFS(COHORT_TRANSITION!$A$6:$A$10,A13)=0,"",SUMIFS(COHORT_TRANSITION!$E$6:$E$10,COHORT_TRANSITION!$A$6:$A$10,A13))</x:f>
        <x:v>0.6065573770491803</x:v>
      </x:c>
      <x:c r="O13" s="97" t="n">
        <x:f>IF(COUNTIFS(COHORT_TRANSITION!$H$6:$H$9,A13)=0,"",SUMIFS(COHORT_TRANSITION!$K$6:$K$9,COHORT_TRANSITION!$H$6:$H$9,A13))</x:f>
        <x:v>0.6610878661087866</x:v>
      </x:c>
    </x:row>
    <x:row r="14">
      <x:c r="A14" s="96" t="str">
        <x:v>2025-2026</x:v>
      </x:c>
      <x:c r="B14" s="116" t="n">
        <x:f>IF(COUNTIFS(DATA_ENTRY!$A$6:$A$41,A14,DATA_ENTRY!$D$6:$D$41,"&gt;0")=0,"",SUMIFS(DATA_ENTRY!$D$6:$D$41,DATA_ENTRY!$A$6:$A$41,A14))</x:f>
        <x:v>1002</x:v>
      </x:c>
      <x:c r="C14" s="116" t="n">
        <x:f>IF(B14="","",SUMIFS(DATA_ENTRY!$D$6:$D$41,DATA_ENTRY!$A$6:$A$41,A14,DATA_ENTRY!$B$6:$B$41,"JHS"))</x:f>
        <x:v>714</x:v>
      </x:c>
      <x:c r="D14" s="116" t="n">
        <x:f>IF(B14="","",SUMIFS(DATA_ENTRY!$D$6:$D$41,DATA_ENTRY!$A$6:$A$41,A14,DATA_ENTRY!$B$6:$B$41,"SHS"))</x:f>
        <x:v>288</x:v>
      </x:c>
      <x:c r="E14" s="97" t="n">
        <x:f>IF(OR(B14="",B13=""),"",B14/B13-1)</x:f>
        <x:v>-0.07988980716253447</x:v>
      </x:c>
      <x:c r="F14" s="116" t="n">
        <x:f>IF(B14="","",SUMIFS(DATA_ENTRY!$E$6:$E$41,DATA_ENTRY!$A$6:$A$41,A14))</x:f>
        <x:v>6</x:v>
      </x:c>
      <x:c r="G14" s="97" t="n">
        <x:f>IF(B14="","",IFERROR(F14/B14,0))</x:f>
        <x:v>0.005988023952095809</x:v>
      </x:c>
      <x:c r="H14" s="116" t="n">
        <x:f>IF(B14="","",SUMIFS(DATA_ENTRY!$F$6:$F$41,DATA_ENTRY!$A$6:$A$41,A14))</x:f>
        <x:v>21</x:v>
      </x:c>
      <x:c r="I14" s="97" t="n">
        <x:f>IF(B14="","",IFERROR(H14/B14,0))</x:f>
        <x:v>0.020958083832335328</x:v>
      </x:c>
      <x:c r="J14" s="116" t="n">
        <x:f>IF(B14="","",SUMIFS(DATA_ENTRY!$G$6:$G$41,DATA_ENTRY!$A$6:$A$41,A14))</x:f>
        <x:v>50</x:v>
      </x:c>
      <x:c r="K14" s="120" t="n">
        <x:f>IF(B14="","",IFERROR(B14/J14,0))</x:f>
        <x:v>20.04</x:v>
      </x:c>
      <x:c r="L14" s="116" t="n">
        <x:f>IFERROR(SUMIFS(RESOURCES!$D$6:$D$11,RESOURCES!$A$6:$A$11,A14),"")</x:f>
        <x:v>34</x:v>
      </x:c>
      <x:c r="M14" s="120" t="n">
        <x:f>IF(OR(B14="",L14=""),"",IFERROR(B14/L14,0))</x:f>
        <x:v>29.470588235294116</x:v>
      </x:c>
      <x:c r="N14" s="97" t="n">
        <x:f>IF(COUNTIFS(COHORT_TRANSITION!$A$6:$A$10,A14)=0,"",SUMIFS(COHORT_TRANSITION!$E$6:$E$10,COHORT_TRANSITION!$A$6:$A$10,A14))</x:f>
        <x:v>0.5693430656934306</x:v>
      </x:c>
      <x:c r="O14" s="97" t="n">
        <x:f>IF(COUNTIFS(COHORT_TRANSITION!$H$6:$H$9,A14)=0,"",SUMIFS(COHORT_TRANSITION!$K$6:$K$9,COHORT_TRANSITION!$H$6:$H$9,A14))</x:f>
        <x:v>0.5617021276595745</x:v>
      </x:c>
    </x:row>
    <x:row r="15">
      <x:c r="A15" s="62" t="str">
        <x:v>2026-2027</x:v>
      </x:c>
      <x:c r="B15" s="117" t="str">
        <x:f>IF(COUNTIFS(DATA_ENTRY!$A$6:$A$41,A15,DATA_ENTRY!$D$6:$D$41,"&gt;0")=0,"",SUMIFS(DATA_ENTRY!$D$6:$D$41,DATA_ENTRY!$A$6:$A$41,A15))</x:f>
      </x:c>
      <x:c r="C15" s="117" t="str">
        <x:f>IF(B15="","",SUMIFS(DATA_ENTRY!$D$6:$D$41,DATA_ENTRY!$A$6:$A$41,A15,DATA_ENTRY!$B$6:$B$41,"JHS"))</x:f>
      </x:c>
      <x:c r="D15" s="117" t="str">
        <x:f>IF(B15="","",SUMIFS(DATA_ENTRY!$D$6:$D$41,DATA_ENTRY!$A$6:$A$41,A15,DATA_ENTRY!$B$6:$B$41,"SHS"))</x:f>
      </x:c>
      <x:c r="E15" s="98" t="str">
        <x:f>IF(OR(B15="",B14=""),"",B15/B14-1)</x:f>
      </x:c>
      <x:c r="F15" s="117" t="str">
        <x:f>IF(B15="","",SUMIFS(DATA_ENTRY!$E$6:$E$41,DATA_ENTRY!$A$6:$A$41,A15))</x:f>
      </x:c>
      <x:c r="G15" s="98" t="str">
        <x:f>IF(B15="","",IFERROR(F15/B15,0))</x:f>
      </x:c>
      <x:c r="H15" s="117" t="str">
        <x:f>IF(B15="","",SUMIFS(DATA_ENTRY!$F$6:$F$41,DATA_ENTRY!$A$6:$A$41,A15))</x:f>
      </x:c>
      <x:c r="I15" s="98" t="str">
        <x:f>IF(B15="","",IFERROR(H15/B15,0))</x:f>
      </x:c>
      <x:c r="J15" s="117" t="str">
        <x:f>IF(B15="","",SUMIFS(DATA_ENTRY!$G$6:$G$41,DATA_ENTRY!$A$6:$A$41,A15))</x:f>
      </x:c>
      <x:c r="K15" s="121" t="str">
        <x:f>IF(B15="","",IFERROR(B15/J15,0))</x:f>
      </x:c>
      <x:c r="L15" s="117" t="str">
        <x:f>IF(COUNTIFS(RESOURCES!$A$6:$A$11,A15,RESOURCES!$D$6:$D$11,"&gt;0")=0,"",SUMIFS(RESOURCES!$D$6:$D$11,RESOURCES!$A$6:$A$11,A15))</x:f>
      </x:c>
      <x:c r="M15" s="121" t="str">
        <x:f>IF(OR(B15="",L15=""),"",IFERROR(B15/L15,0))</x:f>
      </x:c>
      <x:c r="N15" s="98" t="str">
        <x:f>IF(COUNTIFS(COHORT_TRANSITION!$A$6:$A$10,A15)=0,"",SUMIFS(COHORT_TRANSITION!$E$6:$E$10,COHORT_TRANSITION!$A$6:$A$10,A15))</x:f>
      </x:c>
      <x:c r="O15" s="98" t="str">
        <x:f>IF(COUNTIFS(COHORT_TRANSITION!$H$6:$H$9,A15)=0,"",SUMIFS(COHORT_TRANSITION!$K$6:$K$9,COHORT_TRANSITION!$H$6:$H$9,A15))</x:f>
      </x:c>
    </x:row>
  </x:sheetData>
  <x:mergeCells>
    <x:mergeCell ref="A1:O2"/>
    <x:mergeCell ref="A3:O3"/>
    <x:mergeCell ref="A5:B5"/>
    <x:mergeCell ref="C5:D5"/>
    <x:mergeCell ref="E5:F5"/>
    <x:mergeCell ref="G5:H5"/>
    <x:mergeCell ref="I5:J5"/>
    <x:mergeCell ref="A6:B7"/>
    <x:mergeCell ref="C6:D7"/>
    <x:mergeCell ref="E6:F7"/>
    <x:mergeCell ref="G6:H7"/>
    <x:mergeCell ref="I6:J7"/>
  </x:mergeCells>
  <x:conditionalFormatting sqref="E10:E15">
    <x:cfRule type="colorScale" priority="1">
      <x:colorScale>
        <x:cfvo type="min"/>
        <x:cfvo type="percentile" val="50"/>
        <x:cfvo type="max"/>
        <x:color rgb="FECACA"/>
        <x:color rgb="FEF3C7"/>
        <x:color rgb="DCFCE7"/>
      </x:colorScale>
    </x:cfRule>
  </x:conditionalFormatting>
  <x:conditionalFormatting sqref="G10:G15">
    <x:cfRule type="dataBar" priority="2">
      <x:dataBar>
        <x:cfvo type="min"/>
        <x:cfvo type="max"/>
        <x:color rgb="58B878"/>
      </x:dataBar>
      <x:extLst>
        <x:ext xmlns:x14="http://schemas.microsoft.com/office/spreadsheetml/2009/9/main" uri="{B025F937-C7B1-47D3-B67F-A62EFF666E3E}">
          <x14:id>{BB74595C-C66C-E1E7-CA90-1A974E6951F7}</x14:id>
        </x:ext>
      </x:extLst>
    </x:cfRule>
  </x:conditionalFormatting>
  <x:conditionalFormatting sqref="I10:I15">
    <x:cfRule type="dataBar" priority="3">
      <x:dataBar>
        <x:cfvo type="min"/>
        <x:cfvo type="max"/>
        <x:color rgb="168447"/>
      </x:dataBar>
      <x:extLst>
        <x:ext xmlns:x14="http://schemas.microsoft.com/office/spreadsheetml/2009/9/main" uri="{B025F937-C7B1-47D3-B67F-A62EFF666E3E}">
          <x14:id>{FBF4B9C3-3453-406A-E1B4-ECEFCE4616F9}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5c80413df4bd4097"/>
  <x:tableParts count="1">
    <x:tablePart xmlns:r="http://schemas.openxmlformats.org/officeDocument/2006/relationships" r:id="R384673a541904993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BB74595C-C66C-E1E7-CA90-1A974E6951F7}">
            <x14:dataBar gradient="1">
              <x14:cfvo type="min"/>
              <x14:cfvo type="max"/>
              <x14:fillColor rgb="58B878"/>
            </x14:dataBar>
          </x14:cfRule>
          <xm:sqref>G10:G15</xm:sqref>
        </x14:conditionalFormatting>
        <x14:conditionalFormatting>
          <x14:cfRule type="dataBar" priority="3" id="{FBF4B9C3-3453-406A-E1B4-ECEFCE4616F9}">
            <x14:dataBar gradient="1">
              <x14:cfvo type="min"/>
              <x14:cfvo type="max"/>
              <x14:fillColor rgb="168447"/>
            </x14:dataBar>
          </x14:cfRule>
          <xm:sqref>I10:I15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6" hidden="0" customWidth="1"/>
    <x:col min="3" max="3" width="16" hidden="0" customWidth="1"/>
    <x:col min="4" max="4" width="14" hidden="0" customWidth="1"/>
    <x:col min="6" max="6" width="28" hidden="0" customWidth="1"/>
    <x:col min="7" max="7" width="18" hidden="0" customWidth="1"/>
    <x:col min="8" max="8" width="30" hidden="0" customWidth="1"/>
  </x:cols>
  <x:sheetData>
    <x:row r="1" ht="34" customHeight="1">
      <x:c r="A1" s="6" t="str">
        <x:v>Forecast and What-If Planning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4" customHeight="1">
      <x:c r="A2" s="6"/>
      <x:c r="B2" s="6"/>
      <x:c r="C2" s="6"/>
      <x:c r="D2" s="6"/>
      <x:c r="E2" s="6"/>
      <x:c r="F2" s="6"/>
      <x:c r="G2" s="6"/>
      <x:c r="H2" s="6"/>
      <x:c r="I2" s="6"/>
      <x:c r="J2" s="6"/>
    </x:row>
    <x:row r="3" ht="28" customHeight="1">
      <x:c r="A3" s="16" t="str">
        <x:v>Change the pale yellow input cells to explore simple school planning scenarios.</x:v>
      </x:c>
      <x:c r="B3" s="16"/>
      <x:c r="C3" s="16"/>
      <x:c r="D3" s="16"/>
      <x:c r="E3" s="16"/>
      <x:c r="F3" s="16"/>
      <x:c r="G3" s="16"/>
      <x:c r="H3" s="16"/>
      <x:c r="I3" s="16"/>
      <x:c r="J3" s="16"/>
    </x:row>
    <x:row r="5" ht="30" customHeight="1">
      <x:c r="A5" s="47" t="str">
        <x:v>Year Index</x:v>
      </x:c>
      <x:c r="B5" s="47" t="str">
        <x:v>School Year</x:v>
      </x:c>
      <x:c r="C5" s="47" t="str">
        <x:v>Enrollment</x:v>
      </x:c>
      <x:c r="D5" s="47" t="str">
        <x:v>Type</x:v>
      </x:c>
      <x:c r="F5" s="23" t="str">
        <x:v>WHAT-IF TOOL</x:v>
      </x:c>
      <x:c r="G5" s="23" t="str"/>
      <x:c r="H5" s="23" t="str"/>
      <x:c r="I5" s="23" t="str"/>
      <x:c r="J5" s="23" t="str"/>
    </x:row>
    <x:row r="6">
      <x:c r="A6" s="29" t="n">
        <x:v>1</x:v>
      </x:c>
      <x:c r="B6" s="29" t="str">
        <x:v>2021-2022</x:v>
      </x:c>
      <x:c r="C6" s="124" t="n">
        <x:f>SUMMARY!B10</x:f>
        <x:v>1380</x:v>
      </x:c>
      <x:c r="D6" s="29" t="str">
        <x:v>Actual</x:v>
      </x:c>
    </x:row>
    <x:row r="7">
      <x:c r="A7" s="29" t="n">
        <x:v>2</x:v>
      </x:c>
      <x:c r="B7" s="29" t="str">
        <x:v>2022-2023</x:v>
      </x:c>
      <x:c r="C7" s="124" t="n">
        <x:f>SUMMARY!B11</x:f>
        <x:v>1305</x:v>
      </x:c>
      <x:c r="D7" s="29" t="str">
        <x:v>Actual</x:v>
      </x:c>
      <x:c r="F7" s="35" t="str">
        <x:v>Enrollment Scenario</x:v>
      </x:c>
      <x:c r="G7" s="29" t="str"/>
      <x:c r="H7" s="29" t="str"/>
      <x:c r="I7" s="29" t="str"/>
      <x:c r="J7" s="29" t="str"/>
    </x:row>
    <x:row r="8">
      <x:c r="A8" s="29" t="n">
        <x:v>3</x:v>
      </x:c>
      <x:c r="B8" s="29" t="str">
        <x:v>2023-2024</x:v>
      </x:c>
      <x:c r="C8" s="124" t="n">
        <x:f>SUMMARY!B12</x:f>
        <x:v>1174</x:v>
      </x:c>
      <x:c r="D8" s="29" t="str">
        <x:v>Actual</x:v>
      </x:c>
      <x:c r="F8" s="35" t="str">
        <x:v>Base Enrollment</x:v>
      </x:c>
      <x:c r="G8" s="124" t="n">
        <x:f>SUMMARY!B14</x:f>
        <x:v>1002</x:v>
      </x:c>
      <x:c r="H8" s="29" t="str">
        <x:v>Latest completed school year enrollment</x:v>
      </x:c>
      <x:c r="I8" s="29" t="str"/>
      <x:c r="J8" s="29" t="str"/>
    </x:row>
    <x:row r="9">
      <x:c r="A9" s="29" t="n">
        <x:v>4</x:v>
      </x:c>
      <x:c r="B9" s="29" t="str">
        <x:v>2024-2025</x:v>
      </x:c>
      <x:c r="C9" s="124" t="n">
        <x:f>SUMMARY!B13</x:f>
        <x:v>1089</x:v>
      </x:c>
      <x:c r="D9" s="29" t="str">
        <x:v>Actual</x:v>
      </x:c>
      <x:c r="F9" s="35" t="str">
        <x:v>Assumed Change</x:v>
      </x:c>
      <x:c r="G9" s="128" t="n">
        <x:v>-0.05</x:v>
      </x:c>
      <x:c r="H9" s="29" t="str">
        <x:v>Edit this rate</x:v>
      </x:c>
      <x:c r="I9" s="29" t="str"/>
      <x:c r="J9" s="29" t="str"/>
    </x:row>
    <x:row r="10">
      <x:c r="A10" s="29" t="n">
        <x:v>5</x:v>
      </x:c>
      <x:c r="B10" s="29" t="str">
        <x:v>2025-2026</x:v>
      </x:c>
      <x:c r="C10" s="124" t="n">
        <x:f>SUMMARY!B14</x:f>
        <x:v>1002</x:v>
      </x:c>
      <x:c r="D10" s="29" t="str">
        <x:v>Actual</x:v>
      </x:c>
      <x:c r="F10" s="35" t="str">
        <x:v>Scenario Enrollment</x:v>
      </x:c>
      <x:c r="G10" s="124" t="n">
        <x:f>G8*(1+G9)</x:f>
        <x:v>951.9</x:v>
      </x:c>
      <x:c r="H10" s="29" t="str">
        <x:v>Computed result</x:v>
      </x:c>
      <x:c r="I10" s="29" t="str"/>
      <x:c r="J10" s="29" t="str"/>
    </x:row>
    <x:row r="11">
      <x:c r="A11" s="29" t="n">
        <x:v>6</x:v>
      </x:c>
      <x:c r="B11" s="29" t="str">
        <x:v>2026-2027</x:v>
      </x:c>
      <x:c r="C11" s="125" t="n">
        <x:f>FORECAST.LINEAR(A11,C6:C10,A6:A10)</x:f>
        <x:v>898.3999999999999</x:v>
      </x:c>
      <x:c r="D11" s="29" t="str">
        <x:v>Projected</x:v>
      </x:c>
      <x:c r="F11" s="35" t="str"/>
      <x:c r="G11" s="29" t="str"/>
      <x:c r="H11" s="29" t="str"/>
      <x:c r="I11" s="29" t="str"/>
      <x:c r="J11" s="29" t="str"/>
    </x:row>
    <x:row r="12">
      <x:c r="A12" s="29" t="n">
        <x:v>7</x:v>
      </x:c>
      <x:c r="B12" s="29" t="str">
        <x:v>2027-2028</x:v>
      </x:c>
      <x:c r="C12" s="125" t="n">
        <x:f>FORECAST.LINEAR(A12,C6:C10,A6:A10)</x:f>
        <x:v>801.1999999999999</x:v>
      </x:c>
      <x:c r="D12" s="29" t="str">
        <x:v>Projected</x:v>
      </x:c>
      <x:c r="F12" s="35" t="str">
        <x:v>Repeater Reduction</x:v>
      </x:c>
      <x:c r="G12" s="29" t="str"/>
      <x:c r="H12" s="29" t="str"/>
      <x:c r="I12" s="29" t="str"/>
      <x:c r="J12" s="29" t="str"/>
    </x:row>
    <x:row r="13">
      <x:c r="F13" s="35" t="str">
        <x:v>Current Enrollment</x:v>
      </x:c>
      <x:c r="G13" s="124" t="n">
        <x:f>SUMMARY!B14</x:f>
        <x:v>1002</x:v>
      </x:c>
      <x:c r="H13" s="29" t="str"/>
      <x:c r="I13" s="29" t="str"/>
      <x:c r="J13" s="29" t="str"/>
    </x:row>
    <x:row r="14">
      <x:c r="F14" s="35" t="str">
        <x:v>Target Repeater Rate</x:v>
      </x:c>
      <x:c r="G14" s="128" t="n">
        <x:v>0.015</x:v>
      </x:c>
      <x:c r="H14" s="29" t="str">
        <x:v>Edit this rate</x:v>
      </x:c>
      <x:c r="I14" s="29" t="str"/>
      <x:c r="J14" s="29" t="str"/>
    </x:row>
    <x:row r="15">
      <x:c r="F15" s="35" t="str">
        <x:v>Target Number of Repeaters</x:v>
      </x:c>
      <x:c r="G15" s="124" t="n">
        <x:f>ROUND(G13*G14,0)</x:f>
        <x:v>15</x:v>
      </x:c>
      <x:c r="H15" s="29" t="str">
        <x:v>Computed result</x:v>
      </x:c>
      <x:c r="I15" s="29" t="str"/>
      <x:c r="J15" s="29" t="str"/>
    </x:row>
    <x:row r="16">
      <x:c r="F16" s="35" t="str"/>
      <x:c r="G16" s="29" t="str"/>
      <x:c r="H16" s="29" t="str"/>
      <x:c r="I16" s="29" t="str"/>
      <x:c r="J16" s="29" t="str"/>
    </x:row>
    <x:row r="17">
      <x:c r="F17" s="35" t="str">
        <x:v>Student-Teacher Ratio</x:v>
      </x:c>
      <x:c r="G17" s="29" t="str"/>
      <x:c r="H17" s="29" t="str"/>
      <x:c r="I17" s="29" t="str"/>
      <x:c r="J17" s="29" t="str"/>
    </x:row>
    <x:row r="18">
      <x:c r="F18" s="35" t="str">
        <x:v>Scenario Enrollment</x:v>
      </x:c>
      <x:c r="G18" s="110" t="n">
        <x:f>G10</x:f>
        <x:v>951.9</x:v>
      </x:c>
      <x:c r="H18" s="29" t="str"/>
      <x:c r="I18" s="29" t="str"/>
      <x:c r="J18" s="29" t="str"/>
    </x:row>
    <x:row r="19">
      <x:c r="F19" s="35" t="str">
        <x:v>Assumed Teachers</x:v>
      </x:c>
      <x:c r="G19" s="130" t="n">
        <x:v>50</x:v>
      </x:c>
      <x:c r="H19" s="29" t="str">
        <x:v>Edit this number</x:v>
      </x:c>
      <x:c r="I19" s="29" t="str"/>
      <x:c r="J19" s="29" t="str"/>
    </x:row>
    <x:row r="20">
      <x:c r="F20" s="35" t="str">
        <x:v>Students per Teacher</x:v>
      </x:c>
      <x:c r="G20" s="110" t="n">
        <x:f>IFERROR(G18/G19,0)</x:f>
        <x:v>19.038</x:v>
      </x:c>
      <x:c r="H20" s="29" t="str">
        <x:v>Computed result</x:v>
      </x:c>
      <x:c r="I20" s="29" t="str"/>
      <x:c r="J20" s="29" t="str"/>
    </x:row>
  </x:sheetData>
  <x:mergeCells>
    <x:mergeCell ref="A1:J2"/>
    <x:mergeCell ref="A3:J3"/>
    <x:mergeCell ref="F5:J5"/>
  </x:mergeCells>
  <x:pageMargins left="0.7" right="0.7" top="0.75" bottom="0.75" header="0.3" footer="0.3"/>
  <x:tableParts count="1">
    <x:tablePart xmlns:r="http://schemas.openxmlformats.org/officeDocument/2006/relationships" r:id="Rdff98ee31a0e4c1b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4" hidden="0" customWidth="1"/>
    <x:col min="4" max="4" width="44" hidden="0" customWidth="1"/>
    <x:col min="5" max="5" width="48" hidden="0" customWidth="1"/>
    <x:col min="6" max="6" width="50" hidden="0" customWidth="1"/>
    <x:col min="7" max="7" width="24" hidden="0" customWidth="1"/>
    <x:col min="8" max="8" width="22" hidden="0" customWidth="1"/>
    <x:col min="9" max="9" width="16" hidden="0" customWidth="1"/>
    <x:col min="10" max="10" width="16" hidden="0" customWidth="1"/>
    <x:col min="11" max="11" width="24" hidden="0" customWidth="1"/>
    <x:col min="12" max="12" width="24" hidden="0" customWidth="1"/>
    <x:col min="13" max="13" width="16" hidden="0" customWidth="1"/>
    <x:col min="14" max="14" width="44" hidden="0" customWidth="1"/>
    <x:col min="15" max="15" width="34" hidden="0" customWidth="1"/>
  </x:cols>
  <x:sheetData>
    <x:row r="1" ht="34" customHeight="1">
      <x:c r="A1" s="178" t="str">
        <x:v>Long-Term Insights and Action Plans</x:v>
      </x:c>
      <x:c r="B1" s="178"/>
      <x:c r="C1" s="178"/>
      <x:c r="D1" s="178"/>
      <x:c r="E1" s="178"/>
      <x:c r="F1" s="178"/>
      <x:c r="G1" s="178"/>
      <x:c r="H1" s="178"/>
      <x:c r="I1" s="178"/>
      <x:c r="J1" s="178"/>
      <x:c r="K1" s="178"/>
      <x:c r="L1" s="178"/>
      <x:c r="M1" s="178"/>
      <x:c r="N1" s="178"/>
    </x:row>
    <x:row r="2" ht="34" customHeight="1">
      <x:c r="A2" s="178"/>
      <x:c r="B2" s="178"/>
      <x:c r="C2" s="178"/>
      <x:c r="D2" s="178"/>
      <x:c r="E2" s="178"/>
      <x:c r="F2" s="178"/>
      <x:c r="G2" s="178"/>
      <x:c r="H2" s="178"/>
      <x:c r="I2" s="178"/>
      <x:c r="J2" s="178"/>
      <x:c r="K2" s="178"/>
      <x:c r="L2" s="178"/>
      <x:c r="M2" s="178"/>
      <x:c r="N2" s="178"/>
    </x:row>
    <x:row r="3" ht="28" customHeight="1">
      <x:c r="A3" s="185" t="str">
        <x:v>Editable school actions linked to observed trends, targets, progress notes, and monitoring periods.</x:v>
      </x:c>
      <x:c r="B3" s="185"/>
      <x:c r="C3" s="185"/>
      <x:c r="D3" s="185"/>
      <x:c r="E3" s="185"/>
      <x:c r="F3" s="185"/>
      <x:c r="G3" s="185"/>
      <x:c r="H3" s="187"/>
      <x:c r="I3" s="187"/>
      <x:c r="J3" s="187"/>
      <x:c r="K3" s="187"/>
      <x:c r="L3" s="187"/>
      <x:c r="M3" s="187"/>
      <x:c r="N3" s="187"/>
    </x:row>
    <x:row r="5" ht="30" customHeight="1">
      <x:c r="A5" s="191" t="str">
        <x:v>School Year</x:v>
      </x:c>
      <x:c r="B5" s="191" t="str">
        <x:v>Analysis Type</x:v>
      </x:c>
      <x:c r="C5" s="191" t="str">
        <x:v>Focus Area</x:v>
      </x:c>
      <x:c r="D5" s="191" t="str">
        <x:v>Observed Pattern</x:v>
      </x:c>
      <x:c r="E5" s="191" t="str">
        <x:v>Data Basis</x:v>
      </x:c>
      <x:c r="F5" s="191" t="str">
        <x:v>Suggested Action</x:v>
      </x:c>
      <x:c r="G5" s="191" t="str">
        <x:v>Responsible Group</x:v>
      </x:c>
      <x:c r="H5" s="191" t="str">
        <x:v>Target Indicator</x:v>
      </x:c>
      <x:c r="I5" s="191" t="str">
        <x:v>Baseline Value</x:v>
      </x:c>
      <x:c r="J5" s="191" t="str">
        <x:v>Target Value</x:v>
      </x:c>
      <x:c r="K5" s="191" t="str">
        <x:v>Monitoring Period</x:v>
      </x:c>
      <x:c r="L5" s="191" t="str">
        <x:v>Current Result</x:v>
      </x:c>
      <x:c r="M5" s="191" t="str">
        <x:v>Status</x:v>
      </x:c>
      <x:c r="N5" s="191" t="str">
        <x:v>Progress Notes</x:v>
      </x:c>
      <x:c r="O5" t="str">
        <x:v>Additional Notes</x:v>
      </x:c>
    </x:row>
    <x:row r="6">
      <x:c r="A6" s="198" t="str">
        <x:v>2025-2026</x:v>
      </x:c>
      <x:c r="B6" s="198" t="str">
        <x:v>Prescriptive</x:v>
      </x:c>
      <x:c r="C6" s="198" t="str">
        <x:v>Enrollment Continuity</x:v>
      </x:c>
      <x:c r="D6" s="198" t="str">
        <x:v>Total enrollment decreased across the five-year period.</x:v>
      </x:c>
      <x:c r="E6" s="198" t="str">
        <x:v>Enrollment decreased from 1,380 in SY 2021-2022 to 1,002 in SY 2025-2026.</x:v>
      </x:c>
      <x:c r="F6" s="198" t="str">
        <x:v>Coordinate enrollment promotion and feeder-school information activities before the next enrollment cycle.</x:v>
      </x:c>
      <x:c r="G6" s="198" t="str">
        <x:v>School Team</x:v>
      </x:c>
      <x:c r="H6" s="198" t="str">
        <x:v>Total Enrollment</x:v>
      </x:c>
      <x:c r="I6" s="198" t="n">
        <x:v>1002</x:v>
      </x:c>
      <x:c r="J6" s="198" t="n">
        <x:v>1050</x:v>
      </x:c>
      <x:c r="K6" s="198" t="str">
        <x:v>Next enrollment cycle</x:v>
      </x:c>
      <x:c r="L6" s="198" t="str"/>
      <x:c r="M6" s="198" t="str">
        <x:v>Suggested</x:v>
      </x:c>
      <x:c r="N6" s="198" t="str">
        <x:v>Review progress after the next official enrollment count.</x:v>
      </x:c>
      <x:c r="O6" s="40"/>
    </x:row>
    <x:row r="7">
      <x:c r="A7" s="198" t="str">
        <x:v>2025-2026</x:v>
      </x:c>
      <x:c r="B7" s="198" t="str">
        <x:v>Prescriptive</x:v>
      </x:c>
      <x:c r="C7" s="198" t="str">
        <x:v>SHS Transition</x:v>
      </x:c>
      <x:c r="D7" s="198" t="str">
        <x:v>Grade 11 intake is lower than the preceding Grade 10 count.</x:v>
      </x:c>
      <x:c r="E7" s="198" t="str">
        <x:v>Grade 10 in SY 2024-2025 = 235; Grade 11 in SY 2025-2026 = 132.</x:v>
      </x:c>
      <x:c r="F7" s="198" t="str">
        <x:v>Conduct a Grade 10 plans survey and organize an SHS orientation before enrollment.</x:v>
      </x:c>
      <x:c r="G7" s="198" t="str">
        <x:v>Guidance / SHS Team</x:v>
      </x:c>
      <x:c r="H7" s="198" t="str">
        <x:v>Transition Rate</x:v>
      </x:c>
      <x:c r="I7" s="198" t="n">
        <x:v>0.5617</x:v>
      </x:c>
      <x:c r="J7" s="198" t="n">
        <x:v>0.65</x:v>
      </x:c>
      <x:c r="K7" s="198" t="str">
        <x:v>Next Grade 11 enrollment cycle</x:v>
      </x:c>
      <x:c r="L7" s="198" t="str"/>
      <x:c r="M7" s="198" t="str">
        <x:v>Suggested</x:v>
      </x:c>
      <x:c r="N7" s="198" t="str">
        <x:v>Record aggregated intention results and actual Grade 11 intake.</x:v>
      </x:c>
      <x:c r="O7" s="40"/>
    </x:row>
    <x:row r="8">
      <x:c r="A8" s="198" t="str">
        <x:v>2025-2026</x:v>
      </x:c>
      <x:c r="B8" s="198" t="str">
        <x:v>Prescriptive</x:v>
      </x:c>
      <x:c r="C8" s="198" t="str">
        <x:v>Repeater Support</x:v>
      </x:c>
      <x:c r="D8" s="198" t="str">
        <x:v>Repeaters remain concentrated in selected JHS grade levels.</x:v>
      </x:c>
      <x:c r="E8" s="198" t="str">
        <x:v>Repeaters peaked at 41 in SY 2023-2024; Grades 8 and 9 contributed 24.</x:v>
      </x:c>
      <x:c r="F8" s="198" t="str">
        <x:v>Use targeted remediation and progress monitoring for Grades 8 and 9.</x:v>
      </x:c>
      <x:c r="G8" s="198" t="str">
        <x:v>Academic Team</x:v>
      </x:c>
      <x:c r="H8" s="198" t="str">
        <x:v>Repeater Rate</x:v>
      </x:c>
      <x:c r="I8" s="198" t="n">
        <x:v>0.02096</x:v>
      </x:c>
      <x:c r="J8" s="198" t="n">
        <x:v>0.015</x:v>
      </x:c>
      <x:c r="K8" s="198" t="str">
        <x:v>Every grading period</x:v>
      </x:c>
      <x:c r="L8" s="198" t="str"/>
      <x:c r="M8" s="198" t="str">
        <x:v>Suggested</x:v>
      </x:c>
      <x:c r="N8" s="198" t="str">
        <x:v>Update repeater counts and intervention outcomes annually.</x:v>
      </x:c>
      <x:c r="O8" s="40"/>
    </x:row>
    <x:row r="9">
      <x:c r="A9" s="198" t="str">
        <x:v>2025-2026</x:v>
      </x:c>
      <x:c r="B9" s="198" t="str">
        <x:v>Prescriptive</x:v>
      </x:c>
      <x:c r="C9" s="198" t="str">
        <x:v>Classroom Planning</x:v>
      </x:c>
      <x:c r="D9" s="198" t="str">
        <x:v>Students per classroom has declined as enrollment decreased.</x:v>
      </x:c>
      <x:c r="E9" s="198" t="str">
        <x:v>Students per classroom decreased from 36.3 to 29.5 across the five-year view.</x:v>
      </x:c>
      <x:c r="F9" s="198" t="str">
        <x:v>Assess the use of available rooms for guidance, tutoring, or learning-support activities.</x:v>
      </x:c>
      <x:c r="G9" s="198" t="str">
        <x:v>School Team</x:v>
      </x:c>
      <x:c r="H9" s="198" t="str">
        <x:v>Students per Classroom</x:v>
      </x:c>
      <x:c r="I9" s="198" t="n">
        <x:v>29.47</x:v>
      </x:c>
      <x:c r="J9" s="198" t="n">
        <x:v>30</x:v>
      </x:c>
      <x:c r="K9" s="198" t="str">
        <x:v>Annual room-use review</x:v>
      </x:c>
      <x:c r="L9" s="198" t="str"/>
      <x:c r="M9" s="198" t="str">
        <x:v>Suggested</x:v>
      </x:c>
      <x:c r="N9" s="198" t="str">
        <x:v>Document the selected room use and student participation.</x:v>
      </x:c>
      <x:c r="O9" s="40"/>
    </x:row>
    <x:row r="10">
      <x:c r="A10" s="198" t="str">
        <x:v>2025-2026</x:v>
      </x:c>
      <x:c r="B10" s="198" t="str">
        <x:v>Prescriptive</x:v>
      </x:c>
      <x:c r="C10" s="198" t="str">
        <x:v>Cohort Continuity</x:v>
      </x:c>
      <x:c r="D10" s="198" t="str">
        <x:v>Cohort survival is lower in the latest recorded cohort.</x:v>
      </x:c>
      <x:c r="E10" s="198" t="str">
        <x:v>Cohort survival decreased from 71.59% to 56.93% across the five-year view.</x:v>
      </x:c>
      <x:c r="F10" s="198" t="str">
        <x:v>Track cohort continuation and conduct follow-up planning with learners before SHS enrollment.</x:v>
      </x:c>
      <x:c r="G10" s="198" t="str">
        <x:v>Guidance Team</x:v>
      </x:c>
      <x:c r="H10" s="198" t="str">
        <x:v>Cohort Survival Rate</x:v>
      </x:c>
      <x:c r="I10" s="198" t="n">
        <x:v>0.5693</x:v>
      </x:c>
      <x:c r="J10" s="198" t="n">
        <x:v>0.65</x:v>
      </x:c>
      <x:c r="K10" s="198" t="str">
        <x:v>Annual cohort review</x:v>
      </x:c>
      <x:c r="L10" s="198" t="str"/>
      <x:c r="M10" s="198" t="str">
        <x:v>Suggested</x:v>
      </x:c>
      <x:c r="N10" s="198" t="str">
        <x:v>Compare next cohort outcome with the current baseline.</x:v>
      </x:c>
      <x:c r="O10" s="40"/>
    </x:row>
    <x:row r="11">
      <x:c r="A11" s="198"/>
      <x:c r="B11" s="198"/>
      <x:c r="C11" s="198"/>
      <x:c r="D11" s="198"/>
      <x:c r="E11" s="198"/>
      <x:c r="F11" s="198"/>
      <x:c r="G11" s="198"/>
      <x:c r="H11" s="198"/>
      <x:c r="I11" s="198"/>
      <x:c r="J11" s="198"/>
      <x:c r="K11" s="198"/>
      <x:c r="L11" s="198"/>
      <x:c r="M11" s="198"/>
      <x:c r="N11" s="198"/>
      <x:c r="O11" s="40"/>
    </x:row>
    <x:row r="12">
      <x:c r="A12" s="198"/>
      <x:c r="B12" s="198"/>
      <x:c r="C12" s="198"/>
      <x:c r="D12" s="198"/>
      <x:c r="E12" s="198"/>
      <x:c r="F12" s="198"/>
      <x:c r="G12" s="198"/>
      <x:c r="H12" s="198"/>
      <x:c r="I12" s="198"/>
      <x:c r="J12" s="198"/>
      <x:c r="K12" s="198"/>
      <x:c r="L12" s="198"/>
      <x:c r="M12" s="198"/>
      <x:c r="N12" s="198"/>
      <x:c r="O12" s="40"/>
    </x:row>
    <x:row r="13">
      <x:c r="A13" s="198"/>
      <x:c r="B13" s="198"/>
      <x:c r="C13" s="198"/>
      <x:c r="D13" s="198"/>
      <x:c r="E13" s="198"/>
      <x:c r="F13" s="198"/>
      <x:c r="G13" s="198"/>
      <x:c r="H13" s="198"/>
      <x:c r="I13" s="198"/>
      <x:c r="J13" s="198"/>
      <x:c r="K13" s="198"/>
      <x:c r="L13" s="198"/>
      <x:c r="M13" s="198"/>
      <x:c r="N13" s="198"/>
      <x:c r="O13" s="40"/>
    </x:row>
    <x:row r="14">
      <x:c r="A14" s="198"/>
      <x:c r="B14" s="198"/>
      <x:c r="C14" s="198"/>
      <x:c r="D14" s="198"/>
      <x:c r="E14" s="198"/>
      <x:c r="F14" s="198"/>
      <x:c r="G14" s="198"/>
      <x:c r="H14" s="198"/>
      <x:c r="I14" s="198"/>
      <x:c r="J14" s="198"/>
      <x:c r="K14" s="198"/>
      <x:c r="L14" s="198"/>
      <x:c r="M14" s="198"/>
      <x:c r="N14" s="198"/>
      <x:c r="O14" s="40"/>
    </x:row>
    <x:row r="15">
      <x:c r="A15" s="198"/>
      <x:c r="B15" s="198"/>
      <x:c r="C15" s="198"/>
      <x:c r="D15" s="198"/>
      <x:c r="E15" s="198"/>
      <x:c r="F15" s="198"/>
      <x:c r="G15" s="198"/>
      <x:c r="H15" s="198"/>
      <x:c r="I15" s="198"/>
      <x:c r="J15" s="198"/>
      <x:c r="K15" s="198"/>
      <x:c r="L15" s="198"/>
      <x:c r="M15" s="198"/>
      <x:c r="N15" s="198"/>
      <x:c r="O15" s="40"/>
    </x:row>
    <x:row r="16">
      <x:c r="A16" s="198"/>
      <x:c r="B16" s="198"/>
      <x:c r="C16" s="198"/>
      <x:c r="D16" s="198"/>
      <x:c r="E16" s="198"/>
      <x:c r="F16" s="198"/>
      <x:c r="G16" s="198"/>
      <x:c r="H16" s="198"/>
      <x:c r="I16" s="198"/>
      <x:c r="J16" s="198"/>
      <x:c r="K16" s="198"/>
      <x:c r="L16" s="198"/>
      <x:c r="M16" s="198"/>
      <x:c r="N16" s="198"/>
      <x:c r="O16" s="40"/>
    </x:row>
    <x:row r="17">
      <x:c r="A17" s="198"/>
      <x:c r="B17" s="198"/>
      <x:c r="C17" s="198"/>
      <x:c r="D17" s="198"/>
      <x:c r="E17" s="198"/>
      <x:c r="F17" s="198"/>
      <x:c r="G17" s="198"/>
      <x:c r="H17" s="198"/>
      <x:c r="I17" s="198"/>
      <x:c r="J17" s="198"/>
      <x:c r="K17" s="198"/>
      <x:c r="L17" s="198"/>
      <x:c r="M17" s="198"/>
      <x:c r="N17" s="198"/>
      <x:c r="O17" s="40"/>
    </x:row>
    <x:row r="18">
      <x:c r="A18" s="198"/>
      <x:c r="B18" s="198"/>
      <x:c r="C18" s="198"/>
      <x:c r="D18" s="198"/>
      <x:c r="E18" s="198"/>
      <x:c r="F18" s="198"/>
      <x:c r="G18" s="198"/>
      <x:c r="H18" s="198"/>
      <x:c r="I18" s="198"/>
      <x:c r="J18" s="198"/>
      <x:c r="K18" s="198"/>
      <x:c r="L18" s="198"/>
      <x:c r="M18" s="198"/>
      <x:c r="N18" s="198"/>
      <x:c r="O18" s="40"/>
    </x:row>
    <x:row r="19">
      <x:c r="A19" s="198"/>
      <x:c r="B19" s="198"/>
      <x:c r="C19" s="198"/>
      <x:c r="D19" s="198"/>
      <x:c r="E19" s="198"/>
      <x:c r="F19" s="198"/>
      <x:c r="G19" s="198"/>
      <x:c r="H19" s="198"/>
      <x:c r="I19" s="198"/>
      <x:c r="J19" s="198"/>
      <x:c r="K19" s="198"/>
      <x:c r="L19" s="198"/>
      <x:c r="M19" s="198"/>
      <x:c r="N19" s="198"/>
      <x:c r="O19" s="40"/>
    </x:row>
    <x:row r="20">
      <x:c r="A20" s="198"/>
      <x:c r="B20" s="198"/>
      <x:c r="C20" s="198"/>
      <x:c r="D20" s="198"/>
      <x:c r="E20" s="198"/>
      <x:c r="F20" s="198"/>
      <x:c r="G20" s="198"/>
      <x:c r="H20" s="198"/>
      <x:c r="I20" s="198"/>
      <x:c r="J20" s="198"/>
      <x:c r="K20" s="198"/>
      <x:c r="L20" s="198"/>
      <x:c r="M20" s="198"/>
      <x:c r="N20" s="198"/>
      <x:c r="O20" s="40"/>
    </x:row>
    <x:row r="21">
      <x:c r="A21" s="198"/>
      <x:c r="B21" s="198"/>
      <x:c r="C21" s="198"/>
      <x:c r="D21" s="198"/>
      <x:c r="E21" s="198"/>
      <x:c r="F21" s="198"/>
      <x:c r="G21" s="198"/>
      <x:c r="H21" s="198"/>
      <x:c r="I21" s="198"/>
      <x:c r="J21" s="198"/>
      <x:c r="K21" s="198"/>
      <x:c r="L21" s="198"/>
      <x:c r="M21" s="198"/>
      <x:c r="N21" s="198"/>
    </x:row>
    <x:row r="22">
      <x:c r="A22" s="198"/>
      <x:c r="B22" s="198"/>
      <x:c r="C22" s="198"/>
      <x:c r="D22" s="198"/>
      <x:c r="E22" s="198"/>
      <x:c r="F22" s="198"/>
      <x:c r="G22" s="198"/>
      <x:c r="H22" s="198"/>
      <x:c r="I22" s="198"/>
      <x:c r="J22" s="198"/>
      <x:c r="K22" s="198"/>
      <x:c r="L22" s="198"/>
      <x:c r="M22" s="198"/>
      <x:c r="N22" s="198"/>
    </x:row>
    <x:row r="23">
      <x:c r="A23" s="198"/>
      <x:c r="B23" s="198"/>
      <x:c r="C23" s="198"/>
      <x:c r="D23" s="198"/>
      <x:c r="E23" s="198"/>
      <x:c r="F23" s="198"/>
      <x:c r="G23" s="198"/>
      <x:c r="H23" s="198"/>
      <x:c r="I23" s="198"/>
      <x:c r="J23" s="198"/>
      <x:c r="K23" s="198"/>
      <x:c r="L23" s="198"/>
      <x:c r="M23" s="198"/>
      <x:c r="N23" s="198"/>
    </x:row>
    <x:row r="24">
      <x:c r="A24" s="198"/>
      <x:c r="B24" s="198"/>
      <x:c r="C24" s="198"/>
      <x:c r="D24" s="198"/>
      <x:c r="E24" s="198"/>
      <x:c r="F24" s="198"/>
      <x:c r="G24" s="198"/>
      <x:c r="H24" s="198"/>
      <x:c r="I24" s="198"/>
      <x:c r="J24" s="198"/>
      <x:c r="K24" s="198"/>
      <x:c r="L24" s="198"/>
      <x:c r="M24" s="198"/>
      <x:c r="N24" s="198"/>
    </x:row>
    <x:row r="25">
      <x:c r="A25" s="198"/>
      <x:c r="B25" s="198"/>
      <x:c r="C25" s="198"/>
      <x:c r="D25" s="198"/>
      <x:c r="E25" s="198"/>
      <x:c r="F25" s="198"/>
      <x:c r="G25" s="198"/>
      <x:c r="H25" s="198"/>
      <x:c r="I25" s="198"/>
      <x:c r="J25" s="198"/>
      <x:c r="K25" s="198"/>
      <x:c r="L25" s="198"/>
      <x:c r="M25" s="198"/>
      <x:c r="N25" s="198"/>
    </x:row>
  </x:sheetData>
  <x:mergeCells>
    <x:mergeCell ref="A1:G2"/>
    <x:mergeCell ref="A3:G3"/>
    <x:mergeCell ref="A1:N2"/>
    <x:mergeCell ref="A3:N3"/>
  </x:mergeCells>
  <x:dataValidations count="2">
    <x:dataValidation type="list" sqref="F6:F20">
      <x:formula1>"Suggested,Ongoing,Completed,Archived"</x:formula1>
    </x:dataValidation>
    <x:dataValidation type="list" sqref="M6:M25">
      <x:formula1>"Suggested,Ongoing,Completed,Archived"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fbf085a59154dc5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20" hidden="0" customWidth="1"/>
    <x:col min="4" max="4" width="32" hidden="0" customWidth="1"/>
    <x:col min="5" max="5" width="25" hidden="0" customWidth="1"/>
    <x:col min="6" max="6" width="24" hidden="0" customWidth="1"/>
  </x:cols>
  <x:sheetData>
    <x:row r="1" ht="34" customHeight="1">
      <x:c r="A1" s="178" t="str">
        <x:v>Account Holders</x:v>
      </x:c>
      <x:c r="B1" s="178" t="str"/>
      <x:c r="C1" s="178" t="str"/>
      <x:c r="D1" s="178" t="str"/>
      <x:c r="E1" s="178" t="str"/>
      <x:c r="F1" s="6" t="str"/>
    </x:row>
    <x:row r="2" ht="34" customHeight="1">
      <x:c r="A2" s="178" t="str"/>
      <x:c r="B2" s="178" t="str"/>
      <x:c r="C2" s="178" t="str"/>
      <x:c r="D2" s="178" t="str"/>
      <x:c r="E2" s="178" t="str"/>
      <x:c r="F2" s="6" t="str"/>
    </x:row>
    <x:row r="3" ht="28" customHeight="1">
      <x:c r="A3" s="185" t="str">
        <x:v>Account display reference only. Passwords are masked and are never stored as readable text in this workbook.</x:v>
      </x:c>
      <x:c r="B3" s="185" t="str"/>
      <x:c r="C3" s="185" t="str"/>
      <x:c r="D3" s="185" t="str"/>
      <x:c r="E3" s="185" t="str"/>
      <x:c r="F3" s="16" t="str"/>
    </x:row>
    <x:row r="4">
      <x:c r="A4" t="str"/>
      <x:c r="B4" t="str"/>
      <x:c r="C4" t="str"/>
      <x:c r="D4" t="str"/>
      <x:c r="E4" t="str"/>
      <x:c r="F4" t="str"/>
    </x:row>
    <x:row r="5" ht="30" customHeight="1">
      <x:c r="A5" s="191" t="str">
        <x:v>Full Name</x:v>
      </x:c>
      <x:c r="B5" s="191" t="str">
        <x:v>Username</x:v>
      </x:c>
      <x:c r="C5" s="191" t="str">
        <x:v>Password Display</x:v>
      </x:c>
      <x:c r="D5" s="191" t="str">
        <x:v>Photo Reference</x:v>
      </x:c>
      <x:c r="E5" s="191" t="str">
        <x:v>Last Active</x:v>
      </x:c>
      <x:c r="F5" s="47" t="str"/>
    </x:row>
    <x:row r="6">
      <x:c r="A6" s="203" t="str">
        <x:v>SRNHS Admin</x:v>
      </x:c>
      <x:c r="B6" s="203" t="str">
        <x:v>admin</x:v>
      </x:c>
      <x:c r="C6" s="202" t="str">
        <x:v>••••••••</x:v>
      </x:c>
      <x:c r="D6" s="203" t="str"/>
      <x:c r="E6" s="198" t="str"/>
      <x:c r="F6" s="29" t="str"/>
    </x:row>
    <x:row r="7">
      <x:c r="A7" s="203" t="str"/>
      <x:c r="B7" s="203" t="str"/>
      <x:c r="C7" s="202" t="str">
        <x:v>••••••••</x:v>
      </x:c>
      <x:c r="D7" s="203" t="str"/>
      <x:c r="E7" s="198" t="str"/>
      <x:c r="F7" s="29" t="str"/>
    </x:row>
    <x:row r="8">
      <x:c r="A8" s="203" t="str"/>
      <x:c r="B8" s="203" t="str"/>
      <x:c r="C8" s="202" t="str">
        <x:v>••••••••</x:v>
      </x:c>
      <x:c r="D8" s="203" t="str"/>
      <x:c r="E8" s="198" t="str"/>
      <x:c r="F8" s="29" t="str"/>
    </x:row>
    <x:row r="9">
      <x:c r="A9" s="203" t="str"/>
      <x:c r="B9" s="203" t="str"/>
      <x:c r="C9" s="202" t="str">
        <x:v>••••••••</x:v>
      </x:c>
      <x:c r="D9" s="203" t="str"/>
      <x:c r="E9" s="198" t="str"/>
      <x:c r="F9" s="29" t="str"/>
    </x:row>
    <x:row r="10">
      <x:c r="A10" s="203" t="str"/>
      <x:c r="B10" s="203" t="str"/>
      <x:c r="C10" s="202" t="str">
        <x:v>••••••••</x:v>
      </x:c>
      <x:c r="D10" s="203" t="str"/>
      <x:c r="E10" s="198" t="str"/>
      <x:c r="F10" s="29" t="str"/>
    </x:row>
    <x:row r="11">
      <x:c r="A11" s="140" t="str"/>
      <x:c r="B11" s="140" t="str"/>
      <x:c r="C11" s="146" t="str"/>
      <x:c r="D11" s="140" t="str"/>
      <x:c r="E11" t="str"/>
      <x:c r="F11" t="str"/>
    </x:row>
    <x:row r="12">
      <x:c r="A12" s="140" t="str"/>
      <x:c r="B12" s="140" t="str"/>
      <x:c r="C12" s="146" t="str"/>
      <x:c r="D12" s="140" t="str"/>
      <x:c r="E12" t="str"/>
      <x:c r="F12" t="str"/>
    </x:row>
    <x:row r="13">
      <x:c r="A13" t="str"/>
      <x:c r="B13" t="str"/>
      <x:c r="C13" t="str"/>
      <x:c r="D13" t="str"/>
      <x:c r="E13" t="str"/>
      <x:c r="F13" t="str"/>
    </x:row>
    <x:row r="14">
      <x:c r="A14" t="str"/>
      <x:c r="B14" t="str"/>
      <x:c r="C14" t="str"/>
      <x:c r="D14" t="str"/>
      <x:c r="E14" t="str"/>
      <x:c r="F14" t="str"/>
    </x:row>
    <x:row r="15">
      <x:c r="A15" t="str"/>
      <x:c r="B15" t="str"/>
      <x:c r="C15" t="str"/>
      <x:c r="D15" t="str"/>
      <x:c r="E15" t="str"/>
      <x:c r="F15" t="str"/>
    </x:row>
    <x:row r="16">
      <x:c r="A16" t="str"/>
      <x:c r="B16" t="str"/>
      <x:c r="C16" t="str"/>
      <x:c r="D16" t="str"/>
      <x:c r="E16" t="str"/>
      <x:c r="F16" t="str"/>
    </x:row>
    <x:row r="17">
      <x:c r="A17" t="str"/>
      <x:c r="B17" t="str"/>
      <x:c r="C17" t="str"/>
      <x:c r="D17" t="str"/>
      <x:c r="E17" t="str"/>
      <x:c r="F17" t="str"/>
    </x:row>
    <x:row r="18">
      <x:c r="A18" t="str"/>
      <x:c r="B18" t="str"/>
      <x:c r="C18" t="str"/>
      <x:c r="D18" t="str"/>
      <x:c r="E18" t="str"/>
      <x:c r="F18" t="str"/>
    </x:row>
    <x:row r="19">
      <x:c r="A19" t="str"/>
      <x:c r="B19" t="str"/>
      <x:c r="C19" t="str"/>
      <x:c r="D19" t="str"/>
      <x:c r="E19" t="str"/>
      <x:c r="F19" t="str"/>
    </x:row>
    <x:row r="20">
      <x:c r="A20" t="str"/>
      <x:c r="B20" t="str"/>
      <x:c r="C20" t="str"/>
      <x:c r="D20" t="str"/>
      <x:c r="E20" t="str"/>
      <x:c r="F20" t="str"/>
    </x:row>
  </x:sheetData>
  <x:mergeCells>
    <x:mergeCell ref="A1:F2"/>
    <x:mergeCell ref="A3:F3"/>
    <x:mergeCell ref="A1:D2"/>
    <x:mergeCell ref="A3:D3"/>
    <x:mergeCell ref="A1:E2"/>
    <x:mergeCell ref="A3:E3"/>
  </x:mergeCells>
  <x:dataValidations count="2">
    <x:dataValidation type="list" sqref="C6:C10">
      <x:formula1>"Administrator,Encoder,Viewer"</x:formula1>
    </x:dataValidation>
    <x:dataValidation type="list" sqref="E6:E10">
      <x:formula1>"Active,Inactive"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ecfa794fa424625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2" hidden="0" customWidth="1"/>
    <x:col min="3" max="3" width="28" hidden="0" customWidth="1"/>
    <x:col min="4" max="4" width="22" hidden="0" customWidth="1"/>
    <x:col min="5" max="5" width="22" hidden="0" customWidth="1"/>
    <x:col min="6" max="6" width="48" hidden="0" customWidth="1"/>
  </x:cols>
  <x:sheetData>
    <x:row r="1" ht="34" customHeight="1">
      <x:c r="A1" s="6" t="str">
        <x:v>Recent Activity</x:v>
      </x:c>
      <x:c r="B1" s="6"/>
      <x:c r="C1" s="6"/>
      <x:c r="D1" s="6"/>
      <x:c r="E1" s="6"/>
      <x:c r="F1" s="6"/>
    </x:row>
    <x:row r="2" ht="34" customHeight="1">
      <x:c r="A2" s="6"/>
      <x:c r="B2" s="6"/>
      <x:c r="C2" s="6"/>
      <x:c r="D2" s="6"/>
      <x:c r="E2" s="6"/>
      <x:c r="F2" s="6"/>
    </x:row>
    <x:row r="3" ht="28" customHeight="1">
      <x:c r="A3" s="16" t="str">
        <x:v>Activity items recorded by the dashboard for the Accounts page.</x:v>
      </x:c>
      <x:c r="B3" s="16"/>
      <x:c r="C3" s="16"/>
      <x:c r="D3" s="16"/>
      <x:c r="E3" s="16"/>
      <x:c r="F3" s="16"/>
    </x:row>
    <x:row r="5" ht="30" customHeight="1">
      <x:c r="A5" s="47" t="str">
        <x:v>Date and Time</x:v>
      </x:c>
      <x:c r="B5" s="47" t="str">
        <x:v>User</x:v>
      </x:c>
      <x:c r="C5" s="47" t="str">
        <x:v>Action</x:v>
      </x:c>
      <x:c r="D5" s="47" t="str">
        <x:v>Section</x:v>
      </x:c>
      <x:c r="E5" s="47" t="str">
        <x:v>School Year / Record</x:v>
      </x:c>
      <x:c r="F5" s="47" t="str">
        <x:v>Details</x:v>
      </x:c>
    </x:row>
    <x:row r="6">
      <x:c r="A6" s="29" t="str"/>
      <x:c r="B6" s="29" t="str"/>
      <x:c r="C6" s="29" t="str"/>
      <x:c r="D6" s="29" t="str"/>
      <x:c r="E6" s="29" t="str"/>
      <x:c r="F6" s="29" t="str"/>
    </x:row>
    <x:row r="7">
      <x:c r="A7" s="29" t="str"/>
      <x:c r="B7" s="29" t="str"/>
      <x:c r="C7" s="29" t="str"/>
      <x:c r="D7" s="29" t="str"/>
      <x:c r="E7" s="29" t="str"/>
      <x:c r="F7" s="29" t="str"/>
    </x:row>
    <x:row r="8">
      <x:c r="A8" s="29" t="str"/>
      <x:c r="B8" s="29" t="str"/>
      <x:c r="C8" s="29" t="str"/>
      <x:c r="D8" s="29" t="str"/>
      <x:c r="E8" s="29" t="str"/>
      <x:c r="F8" s="29" t="str"/>
    </x:row>
    <x:row r="9">
      <x:c r="A9" s="29" t="str"/>
      <x:c r="B9" s="29" t="str"/>
      <x:c r="C9" s="29" t="str"/>
      <x:c r="D9" s="29" t="str"/>
      <x:c r="E9" s="29" t="str"/>
      <x:c r="F9" s="29" t="str"/>
    </x:row>
    <x:row r="10">
      <x:c r="A10" s="29" t="str"/>
      <x:c r="B10" s="29" t="str"/>
      <x:c r="C10" s="29" t="str"/>
      <x:c r="D10" s="29" t="str"/>
      <x:c r="E10" s="29" t="str"/>
      <x:c r="F10" s="29" t="str"/>
    </x:row>
    <x:row r="11">
      <x:c r="A11" s="29" t="str"/>
      <x:c r="B11" s="29" t="str"/>
      <x:c r="C11" s="29" t="str"/>
      <x:c r="D11" s="29" t="str"/>
      <x:c r="E11" s="29" t="str"/>
      <x:c r="F11" s="29" t="str"/>
    </x:row>
    <x:row r="12">
      <x:c r="A12" s="29" t="str"/>
      <x:c r="B12" s="29" t="str"/>
      <x:c r="C12" s="29" t="str"/>
      <x:c r="D12" s="29" t="str"/>
      <x:c r="E12" s="29" t="str"/>
      <x:c r="F12" s="29" t="str"/>
    </x:row>
    <x:row r="13">
      <x:c r="A13" s="29" t="str"/>
      <x:c r="B13" s="29" t="str"/>
      <x:c r="C13" s="29" t="str"/>
      <x:c r="D13" s="29" t="str"/>
      <x:c r="E13" s="29" t="str"/>
      <x:c r="F13" s="29" t="str"/>
    </x:row>
    <x:row r="14">
      <x:c r="A14" s="29" t="str"/>
      <x:c r="B14" s="29" t="str"/>
      <x:c r="C14" s="29" t="str"/>
      <x:c r="D14" s="29" t="str"/>
      <x:c r="E14" s="29" t="str"/>
      <x:c r="F14" s="29" t="str"/>
    </x:row>
    <x:row r="15">
      <x:c r="A15" s="29" t="str"/>
      <x:c r="B15" s="29" t="str"/>
      <x:c r="C15" s="29" t="str"/>
      <x:c r="D15" s="29" t="str"/>
      <x:c r="E15" s="29" t="str"/>
      <x:c r="F15" s="29" t="str"/>
    </x:row>
    <x:row r="16">
      <x:c r="A16" s="29" t="str"/>
      <x:c r="B16" s="29" t="str"/>
      <x:c r="C16" s="29" t="str"/>
      <x:c r="D16" s="29" t="str"/>
      <x:c r="E16" s="29" t="str"/>
      <x:c r="F16" s="29" t="str"/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c24828359dd047af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70" hidden="0" customWidth="1"/>
    <x:col min="3" max="3" width="27" hidden="0" customWidth="1"/>
  </x:cols>
  <x:sheetData>
    <x:row r="1" ht="34" customHeight="1">
      <x:c r="A1" s="132" t="str">
        <x:v>Dashboard Display Settings</x:v>
      </x:c>
      <x:c r="B1" s="132"/>
      <x:c r="C1" s="132"/>
    </x:row>
    <x:row r="2" ht="34" customHeight="1">
      <x:c r="A2" s="132"/>
      <x:c r="B2" s="132"/>
      <x:c r="C2" s="132"/>
    </x:row>
    <x:row r="3" ht="28" customHeight="1">
      <x:c r="A3" s="154" t="str">
        <x:v>Edit the yellow cells to change the displayed title and visual branding in the dashboard.</x:v>
      </x:c>
      <x:c r="B3" s="154"/>
      <x:c r="C3" s="154"/>
    </x:row>
    <x:row r="5" ht="30" customHeight="1">
      <x:c r="A5" s="135" t="str">
        <x:v>Display Item</x:v>
      </x:c>
      <x:c r="B5" s="135" t="str">
        <x:v>Current Value</x:v>
      </x:c>
      <x:c r="C5" s="135" t="str">
        <x:v>Shown In</x:v>
      </x:c>
    </x:row>
    <x:row r="6">
      <x:c r="A6" s="160" t="str">
        <x:v>Dashboard Title</x:v>
      </x:c>
      <x:c r="B6" s="161" t="str">
        <x:v>SRNHS School Profile Analysis Dashboard</x:v>
      </x:c>
      <x:c r="C6" s="160" t="str">
        <x:v>Dashboard top bar</x:v>
      </x:c>
    </x:row>
    <x:row r="7">
      <x:c r="A7" s="160" t="str">
        <x:v>School Name</x:v>
      </x:c>
      <x:c r="B7" s="161" t="str">
        <x:v>Sto. Rosario National High School</x:v>
      </x:c>
      <x:c r="C7" s="160" t="str">
        <x:v>Login and top bar</x:v>
      </x:c>
    </x:row>
    <x:row r="8">
      <x:c r="A8" s="160" t="str">
        <x:v>Location</x:v>
      </x:c>
      <x:c r="B8" s="161" t="str">
        <x:v>Minalin, Pampanga</x:v>
      </x:c>
      <x:c r="C8" s="160" t="str">
        <x:v>Login and top bar</x:v>
      </x:c>
    </x:row>
    <x:row r="9">
      <x:c r="A9" s="160" t="str">
        <x:v>Dashboard Subtitle</x:v>
      </x:c>
      <x:c r="B9" s="161" t="str">
        <x:v>Data-Driven Monitoring of Enrollment, Retention, Resources, and Teacher Deployment</x:v>
      </x:c>
      <x:c r="C9" s="160" t="str">
        <x:v>Top bar</x:v>
      </x:c>
    </x:row>
    <x:row r="10">
      <x:c r="A10" s="160" t="str">
        <x:v>Logo Filename</x:v>
      </x:c>
      <x:c r="B10" s="161" t="str">
        <x:v>srnhs_logo.jpg</x:v>
      </x:c>
      <x:c r="C10" s="160" t="str">
        <x:v>Login and sidebar</x:v>
      </x:c>
    </x:row>
    <x:row r="11">
      <x:c r="A11" s="160" t="str">
        <x:v>Login Background Filename</x:v>
      </x:c>
      <x:c r="B11" s="161" t="str">
        <x:v>srnhs_school_background.jpg</x:v>
      </x:c>
      <x:c r="C11" s="160" t="str">
        <x:v>Login screen</x:v>
      </x:c>
    </x:row>
    <x:row r="12">
      <x:c r="A12" s="160" t="str">
        <x:v>Main Green</x:v>
      </x:c>
      <x:c r="B12" s="161" t="str">
        <x:v>#168447</x:v>
      </x:c>
      <x:c r="C12" s="160" t="str">
        <x:v>Buttons and chart highlights</x:v>
      </x:c>
    </x:row>
    <x:row r="13">
      <x:c r="A13" s="160" t="str">
        <x:v>Sidebar Color</x:v>
      </x:c>
      <x:c r="B13" s="161" t="str">
        <x:v>#071B12</x:v>
      </x:c>
      <x:c r="C13" s="160" t="str">
        <x:v>Left navigation</x:v>
      </x:c>
    </x:row>
    <x:row r="14">
      <x:c r="A14" s="160" t="str">
        <x:v>Page Background</x:v>
      </x:c>
      <x:c r="B14" s="161" t="str">
        <x:v>#F8FBF8</x:v>
      </x:c>
      <x:c r="C14" s="160" t="str">
        <x:v>Main workspace</x:v>
      </x:c>
    </x:row>
  </x:sheetData>
  <x:mergeCells>
    <x:mergeCell ref="A1:C2"/>
    <x:mergeCell ref="A3:C3"/>
  </x:mergeCells>
  <x:pageMargins left="0.7" right="0.7" top="0.75" bottom="0.75" header="0.3" footer="0.3"/>
  <x:tableParts count="1">
    <x:tablePart xmlns:r="http://schemas.openxmlformats.org/officeDocument/2006/relationships" r:id="R6ce37054b0284eae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5" hidden="0" customWidth="1"/>
    <x:col min="3" max="3" width="58" hidden="0" customWidth="1"/>
    <x:col min="4" max="4" width="58" hidden="0" customWidth="1"/>
    <x:col min="5" max="5" width="24" hidden="0" customWidth="1"/>
    <x:col min="6" max="6" width="44" hidden="0" customWidth="1"/>
  </x:cols>
  <x:sheetData>
    <x:row r="1">
      <x:c r="A1" s="178" t="str">
        <x:v>Business Intelligence Summary</x:v>
      </x:c>
      <x:c r="B1" s="178"/>
      <x:c r="C1" s="178"/>
      <x:c r="D1" s="178"/>
      <x:c r="E1" s="178"/>
      <x:c r="F1" s="178"/>
    </x:row>
    <x:row r="2">
      <x:c r="A2" s="178"/>
      <x:c r="B2" s="178"/>
      <x:c r="C2" s="178"/>
      <x:c r="D2" s="178"/>
      <x:c r="E2" s="178"/>
      <x:c r="F2" s="178"/>
    </x:row>
    <x:row r="3">
      <x:c r="A3" s="187" t="str">
        <x:v>Dashboard narratives update from saved records; these initial entries summarize the supplied starting data.</x:v>
      </x:c>
      <x:c r="B3" s="187"/>
      <x:c r="C3" s="187"/>
      <x:c r="D3" s="187"/>
      <x:c r="E3" s="187"/>
      <x:c r="F3" s="187"/>
    </x:row>
    <x:row r="5">
      <x:c r="A5" s="191" t="str">
        <x:v>Analytics Type</x:v>
      </x:c>
      <x:c r="B5" s="191" t="str">
        <x:v>Focus Area</x:v>
      </x:c>
      <x:c r="C5" s="191" t="str">
        <x:v>Initial Observation</x:v>
      </x:c>
      <x:c r="D5" s="191" t="str">
        <x:v>Suggested Review / Action</x:v>
      </x:c>
      <x:c r="E5" s="191" t="str">
        <x:v>Target Indicator</x:v>
      </x:c>
      <x:c r="F5" s="191" t="str">
        <x:v>Monitoring Note</x:v>
      </x:c>
    </x:row>
    <x:row r="6">
      <x:c r="A6" s="198" t="str">
        <x:v>Descriptive</x:v>
      </x:c>
      <x:c r="B6" s="198" t="str">
        <x:v>Enrollment Trend</x:v>
      </x:c>
      <x:c r="C6" s="198" t="str">
        <x:v>Enrollment decreased from 1,380 to 1,002 students across the five-year period.</x:v>
      </x:c>
      <x:c r="D6" s="198" t="str">
        <x:v>Monitor annual enrollment and grade-level movement.</x:v>
      </x:c>
      <x:c r="E6" s="198" t="str">
        <x:v>Total Enrollment</x:v>
      </x:c>
      <x:c r="F6" s="198" t="str">
        <x:v>Dashboard updates after new year records are added.</x:v>
      </x:c>
    </x:row>
    <x:row r="7">
      <x:c r="A7" s="198" t="str">
        <x:v>Diagnostic</x:v>
      </x:c>
      <x:c r="B7" s="198" t="str">
        <x:v>Transition Continuity</x:v>
      </x:c>
      <x:c r="C7" s="198" t="str">
        <x:v>The latest Grade 11 count is lower than the preceding Grade 10 count.</x:v>
      </x:c>
      <x:c r="D7" s="198" t="str">
        <x:v>Examine learner plans using an aggregated continuation survey.</x:v>
      </x:c>
      <x:c r="E7" s="198" t="str">
        <x:v>Transition Rate</x:v>
      </x:c>
      <x:c r="F7" s="198" t="str">
        <x:v>Do not assume causes without supporting records.</x:v>
      </x:c>
    </x:row>
    <x:row r="8">
      <x:c r="A8" s="198" t="str">
        <x:v>Predictive</x:v>
      </x:c>
      <x:c r="B8" s="198" t="str">
        <x:v>Enrollment Outlook</x:v>
      </x:c>
      <x:c r="C8" s="198" t="str">
        <x:v>Continued historical decline may lead to lower future enrollment under a trend-only estimate.</x:v>
      </x:c>
      <x:c r="D8" s="198" t="str">
        <x:v>Review one-year and two-year planning estimates with new official records.</x:v>
      </x:c>
      <x:c r="E8" s="198" t="str">
        <x:v>Projected Enrollment</x:v>
      </x:c>
      <x:c r="F8" s="198" t="str">
        <x:v>Projection is an estimate, not a guaranteed outcome.</x:v>
      </x:c>
    </x:row>
    <x:row r="9">
      <x:c r="A9" s="198" t="str">
        <x:v>Prescriptive</x:v>
      </x:c>
      <x:c r="B9" s="198" t="str">
        <x:v>Repeater Support</x:v>
      </x:c>
      <x:c r="C9" s="198" t="str">
        <x:v>Repeaters peaked in SY 2023-2024 and were concentrated in Grades 8 and 9.</x:v>
      </x:c>
      <x:c r="D9" s="198" t="str">
        <x:v>Track targeted learning support and compare annual results.</x:v>
      </x:c>
      <x:c r="E9" s="198" t="str">
        <x:v>Repeater Rate</x:v>
      </x:c>
      <x:c r="F9" s="198" t="str">
        <x:v>Record intervention progress yearly.</x:v>
      </x:c>
    </x:row>
    <x:row r="10">
      <x:c r="A10" s="198" t="str">
        <x:v>Prescriptive</x:v>
      </x:c>
      <x:c r="B10" s="198" t="str">
        <x:v>Room Use Planning</x:v>
      </x:c>
      <x:c r="C10" s="198" t="str">
        <x:v>Lower enrollment reduced students per classroom over the period.</x:v>
      </x:c>
      <x:c r="D10" s="198" t="str">
        <x:v>Review possible room use for guidance or learning support.</x:v>
      </x:c>
      <x:c r="E10" s="198" t="str">
        <x:v>Students per Classroom</x:v>
      </x:c>
      <x:c r="F10" s="198" t="str">
        <x:v>Track room use and related participation.</x:v>
      </x:c>
    </x:row>
    <x:row r="11">
      <x:c r="A11" s="198"/>
      <x:c r="B11" s="198"/>
      <x:c r="C11" s="198"/>
      <x:c r="D11" s="198"/>
      <x:c r="E11" s="198"/>
      <x:c r="F11" s="198"/>
    </x:row>
    <x:row r="12">
      <x:c r="A12" s="198"/>
      <x:c r="B12" s="198"/>
      <x:c r="C12" s="198"/>
      <x:c r="D12" s="198"/>
      <x:c r="E12" s="198"/>
      <x:c r="F12" s="198"/>
    </x:row>
    <x:row r="13">
      <x:c r="A13" s="198"/>
      <x:c r="B13" s="198"/>
      <x:c r="C13" s="198"/>
      <x:c r="D13" s="198"/>
      <x:c r="E13" s="198"/>
      <x:c r="F13" s="198"/>
    </x:row>
    <x:row r="14">
      <x:c r="A14" s="198"/>
      <x:c r="B14" s="198"/>
      <x:c r="C14" s="198"/>
      <x:c r="D14" s="198"/>
      <x:c r="E14" s="198"/>
      <x:c r="F14" s="198"/>
    </x:row>
    <x:row r="15">
      <x:c r="A15" s="198"/>
      <x:c r="B15" s="198"/>
      <x:c r="C15" s="198"/>
      <x:c r="D15" s="198"/>
      <x:c r="E15" s="198"/>
      <x:c r="F15" s="198"/>
    </x:row>
    <x:row r="16">
      <x:c r="A16" s="198"/>
      <x:c r="B16" s="198"/>
      <x:c r="C16" s="198"/>
      <x:c r="D16" s="198"/>
      <x:c r="E16" s="198"/>
      <x:c r="F16" s="198"/>
    </x:row>
    <x:row r="17">
      <x:c r="A17" s="198"/>
      <x:c r="B17" s="198"/>
      <x:c r="C17" s="198"/>
      <x:c r="D17" s="198"/>
      <x:c r="E17" s="198"/>
      <x:c r="F17" s="198"/>
    </x:row>
    <x:row r="18">
      <x:c r="A18" s="198"/>
      <x:c r="B18" s="198"/>
      <x:c r="C18" s="198"/>
      <x:c r="D18" s="198"/>
      <x:c r="E18" s="198"/>
      <x:c r="F18" s="198"/>
    </x:row>
    <x:row r="19">
      <x:c r="A19" s="198"/>
      <x:c r="B19" s="198"/>
      <x:c r="C19" s="198"/>
      <x:c r="D19" s="198"/>
      <x:c r="E19" s="198"/>
      <x:c r="F19" s="198"/>
    </x:row>
    <x:row r="20">
      <x:c r="A20" s="198"/>
      <x:c r="B20" s="198"/>
      <x:c r="C20" s="198"/>
      <x:c r="D20" s="198"/>
      <x:c r="E20" s="198"/>
      <x:c r="F20" s="198"/>
    </x:row>
  </x:sheetData>
  <x:mergeCells>
    <x:mergeCell ref="A1:F2"/>
    <x:mergeCell ref="A3:F3"/>
  </x:mergeCells>
  <x:pageMargins left="0.7" right="0.7" top="0.75" bottom="0.75" header="0.3" footer="0.3"/>
</x:worksheet>
</file>